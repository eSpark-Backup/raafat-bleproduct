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raafat-BLEproduct\Design Files\BLE_product-v1.0\BOM\"/>
    </mc:Choice>
  </mc:AlternateContent>
  <bookViews>
    <workbookView xWindow="28680" yWindow="-120" windowWidth="29040" windowHeight="15840" activeTab="2"/>
  </bookViews>
  <sheets>
    <sheet name="10 Boards" sheetId="1" r:id="rId1"/>
    <sheet name="20 Boards" sheetId="2" r:id="rId2"/>
    <sheet name="50 Boards" sheetId="3" r:id="rId3"/>
    <sheet name="100 Boards" sheetId="4" r:id="rId4"/>
  </sheets>
  <calcPr calcId="162913"/>
</workbook>
</file>

<file path=xl/calcChain.xml><?xml version="1.0" encoding="utf-8"?>
<calcChain xmlns="http://schemas.openxmlformats.org/spreadsheetml/2006/main">
  <c r="M11" i="4" l="1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10" i="4"/>
  <c r="Q41" i="4"/>
  <c r="B41" i="4"/>
  <c r="Q40" i="4"/>
  <c r="B40" i="4"/>
  <c r="Q39" i="4"/>
  <c r="B39" i="4"/>
  <c r="Q38" i="4"/>
  <c r="B38" i="4"/>
  <c r="Q37" i="4"/>
  <c r="B37" i="4"/>
  <c r="Q36" i="4"/>
  <c r="B36" i="4"/>
  <c r="Q35" i="4"/>
  <c r="B35" i="4"/>
  <c r="Q34" i="4"/>
  <c r="B34" i="4"/>
  <c r="Q33" i="4"/>
  <c r="B33" i="4"/>
  <c r="Q32" i="4"/>
  <c r="B32" i="4"/>
  <c r="Q31" i="4"/>
  <c r="B31" i="4"/>
  <c r="Q30" i="4"/>
  <c r="B30" i="4"/>
  <c r="Q29" i="4"/>
  <c r="B29" i="4"/>
  <c r="Q28" i="4"/>
  <c r="B28" i="4"/>
  <c r="Q27" i="4"/>
  <c r="B27" i="4"/>
  <c r="Q26" i="4"/>
  <c r="B26" i="4"/>
  <c r="Q25" i="4"/>
  <c r="B25" i="4"/>
  <c r="Q24" i="4"/>
  <c r="B24" i="4"/>
  <c r="Q23" i="4"/>
  <c r="B23" i="4"/>
  <c r="Q22" i="4"/>
  <c r="B22" i="4"/>
  <c r="Q21" i="4"/>
  <c r="B21" i="4"/>
  <c r="B20" i="4"/>
  <c r="B19" i="4"/>
  <c r="Q18" i="4"/>
  <c r="B18" i="4"/>
  <c r="B17" i="4"/>
  <c r="Q16" i="4"/>
  <c r="B16" i="4"/>
  <c r="Q15" i="4"/>
  <c r="B15" i="4"/>
  <c r="Q14" i="4"/>
  <c r="B14" i="4"/>
  <c r="Q13" i="4"/>
  <c r="B13" i="4"/>
  <c r="Q12" i="4"/>
  <c r="B12" i="4"/>
  <c r="Q11" i="4"/>
  <c r="B11" i="4"/>
  <c r="Q10" i="4"/>
  <c r="B10" i="4"/>
  <c r="Q39" i="3"/>
  <c r="Q40" i="3"/>
  <c r="Q41" i="3"/>
  <c r="M39" i="2"/>
  <c r="M40" i="2"/>
  <c r="M41" i="2"/>
  <c r="B39" i="2"/>
  <c r="B40" i="2"/>
  <c r="B41" i="2"/>
  <c r="Q41" i="2"/>
  <c r="Q40" i="2"/>
  <c r="Q39" i="2"/>
  <c r="M39" i="1"/>
  <c r="M40" i="1"/>
  <c r="M41" i="1"/>
  <c r="Q39" i="1"/>
  <c r="Q40" i="1"/>
  <c r="Q41" i="1"/>
  <c r="B39" i="1"/>
  <c r="B40" i="1"/>
  <c r="B41" i="1"/>
  <c r="B39" i="3"/>
  <c r="B40" i="3"/>
  <c r="B41" i="3"/>
  <c r="M39" i="3"/>
  <c r="M40" i="3"/>
  <c r="M41" i="3"/>
  <c r="Q42" i="4" l="1"/>
  <c r="Q43" i="4" s="1"/>
  <c r="M11" i="3" l="1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10" i="3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10" i="2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10" i="1"/>
  <c r="Q38" i="3"/>
  <c r="B38" i="3"/>
  <c r="Q37" i="3"/>
  <c r="B37" i="3"/>
  <c r="Q36" i="3"/>
  <c r="B36" i="3"/>
  <c r="Q35" i="3"/>
  <c r="B35" i="3"/>
  <c r="Q34" i="3"/>
  <c r="B34" i="3"/>
  <c r="Q33" i="3"/>
  <c r="B33" i="3"/>
  <c r="Q32" i="3"/>
  <c r="B32" i="3"/>
  <c r="Q31" i="3"/>
  <c r="B31" i="3"/>
  <c r="Q30" i="3"/>
  <c r="B30" i="3"/>
  <c r="Q29" i="3"/>
  <c r="B29" i="3"/>
  <c r="Q28" i="3"/>
  <c r="B28" i="3"/>
  <c r="Q27" i="3"/>
  <c r="B27" i="3"/>
  <c r="Q26" i="3"/>
  <c r="B26" i="3"/>
  <c r="Q25" i="3"/>
  <c r="B25" i="3"/>
  <c r="Q24" i="3"/>
  <c r="B24" i="3"/>
  <c r="Q23" i="3"/>
  <c r="B23" i="3"/>
  <c r="Q22" i="3"/>
  <c r="B22" i="3"/>
  <c r="Q21" i="3"/>
  <c r="B21" i="3"/>
  <c r="B20" i="3"/>
  <c r="B19" i="3"/>
  <c r="Q18" i="3"/>
  <c r="B18" i="3"/>
  <c r="B17" i="3"/>
  <c r="Q16" i="3"/>
  <c r="B16" i="3"/>
  <c r="Q15" i="3"/>
  <c r="B15" i="3"/>
  <c r="Q14" i="3"/>
  <c r="B14" i="3"/>
  <c r="Q13" i="3"/>
  <c r="B13" i="3"/>
  <c r="Q12" i="3"/>
  <c r="B12" i="3"/>
  <c r="Q11" i="3"/>
  <c r="B11" i="3"/>
  <c r="Q10" i="3"/>
  <c r="B10" i="3"/>
  <c r="Q38" i="2"/>
  <c r="B38" i="2"/>
  <c r="Q37" i="2"/>
  <c r="B37" i="2"/>
  <c r="Q36" i="2"/>
  <c r="B36" i="2"/>
  <c r="Q35" i="2"/>
  <c r="B35" i="2"/>
  <c r="Q34" i="2"/>
  <c r="B34" i="2"/>
  <c r="Q33" i="2"/>
  <c r="B33" i="2"/>
  <c r="Q32" i="2"/>
  <c r="B32" i="2"/>
  <c r="Q31" i="2"/>
  <c r="B31" i="2"/>
  <c r="Q30" i="2"/>
  <c r="B30" i="2"/>
  <c r="Q29" i="2"/>
  <c r="B29" i="2"/>
  <c r="Q28" i="2"/>
  <c r="B28" i="2"/>
  <c r="Q27" i="2"/>
  <c r="B27" i="2"/>
  <c r="Q26" i="2"/>
  <c r="B26" i="2"/>
  <c r="Q25" i="2"/>
  <c r="B25" i="2"/>
  <c r="Q24" i="2"/>
  <c r="B24" i="2"/>
  <c r="Q23" i="2"/>
  <c r="B23" i="2"/>
  <c r="Q22" i="2"/>
  <c r="B22" i="2"/>
  <c r="Q21" i="2"/>
  <c r="B21" i="2"/>
  <c r="B20" i="2"/>
  <c r="B19" i="2"/>
  <c r="Q18" i="2"/>
  <c r="B18" i="2"/>
  <c r="B17" i="2"/>
  <c r="Q16" i="2"/>
  <c r="B16" i="2"/>
  <c r="Q15" i="2"/>
  <c r="B15" i="2"/>
  <c r="Q14" i="2"/>
  <c r="B14" i="2"/>
  <c r="Q13" i="2"/>
  <c r="B13" i="2"/>
  <c r="Q12" i="2"/>
  <c r="B12" i="2"/>
  <c r="Q11" i="2"/>
  <c r="B11" i="2"/>
  <c r="Q10" i="2"/>
  <c r="B10" i="2"/>
  <c r="Q42" i="3" l="1"/>
  <c r="Q43" i="3" s="1"/>
  <c r="Q42" i="2"/>
  <c r="Q43" i="2" s="1"/>
  <c r="Q38" i="1"/>
  <c r="B38" i="1"/>
  <c r="Q37" i="1"/>
  <c r="B37" i="1"/>
  <c r="Q36" i="1"/>
  <c r="B36" i="1"/>
  <c r="Q35" i="1"/>
  <c r="B35" i="1"/>
  <c r="Q34" i="1"/>
  <c r="B34" i="1"/>
  <c r="Q33" i="1"/>
  <c r="B33" i="1"/>
  <c r="Q32" i="1"/>
  <c r="B32" i="1"/>
  <c r="Q31" i="1"/>
  <c r="B31" i="1"/>
  <c r="Q30" i="1"/>
  <c r="B30" i="1"/>
  <c r="Q29" i="1"/>
  <c r="B29" i="1"/>
  <c r="Q28" i="1"/>
  <c r="B28" i="1"/>
  <c r="Q27" i="1"/>
  <c r="B27" i="1"/>
  <c r="Q26" i="1"/>
  <c r="B26" i="1"/>
  <c r="Q25" i="1"/>
  <c r="B25" i="1"/>
  <c r="Q24" i="1"/>
  <c r="B24" i="1"/>
  <c r="Q23" i="1"/>
  <c r="B23" i="1"/>
  <c r="Q22" i="1"/>
  <c r="B22" i="1"/>
  <c r="Q21" i="1"/>
  <c r="B21" i="1"/>
  <c r="B20" i="1"/>
  <c r="B19" i="1"/>
  <c r="Q18" i="1"/>
  <c r="B18" i="1"/>
  <c r="B17" i="1"/>
  <c r="Q16" i="1"/>
  <c r="B16" i="1"/>
  <c r="Q15" i="1"/>
  <c r="B15" i="1"/>
  <c r="Q14" i="1"/>
  <c r="B14" i="1"/>
  <c r="Q13" i="1"/>
  <c r="B13" i="1"/>
  <c r="Q12" i="1"/>
  <c r="B12" i="1"/>
  <c r="Q42" i="1" l="1"/>
  <c r="Q43" i="1" s="1"/>
  <c r="Q11" i="1"/>
  <c r="Q10" i="1"/>
  <c r="B11" i="1"/>
  <c r="B10" i="1"/>
</calcChain>
</file>

<file path=xl/sharedStrings.xml><?xml version="1.0" encoding="utf-8"?>
<sst xmlns="http://schemas.openxmlformats.org/spreadsheetml/2006/main" count="1413" uniqueCount="215">
  <si>
    <t>Component list</t>
  </si>
  <si>
    <t>Source Data From:</t>
  </si>
  <si>
    <t>Project:</t>
  </si>
  <si>
    <t>Variant:</t>
  </si>
  <si>
    <t>#</t>
  </si>
  <si>
    <t xml:space="preserve">Total Component Cost </t>
  </si>
  <si>
    <t>Single Board Cost</t>
  </si>
  <si>
    <t>None</t>
  </si>
  <si>
    <t>Item Type</t>
  </si>
  <si>
    <t>Capacitor</t>
  </si>
  <si>
    <t>SMD Pad</t>
  </si>
  <si>
    <t>DC Jack Female</t>
  </si>
  <si>
    <t>SMD Pads</t>
  </si>
  <si>
    <t>Inductor</t>
  </si>
  <si>
    <t>RGB LED</t>
  </si>
  <si>
    <t>Mosfet</t>
  </si>
  <si>
    <t>Resistor</t>
  </si>
  <si>
    <t>Tactile Switch</t>
  </si>
  <si>
    <t>IC</t>
  </si>
  <si>
    <t>Designator</t>
  </si>
  <si>
    <t>C1, C7, C9, C10, C11, C12</t>
  </si>
  <si>
    <t>C2</t>
  </si>
  <si>
    <t>C3</t>
  </si>
  <si>
    <t>C4</t>
  </si>
  <si>
    <t>C5</t>
  </si>
  <si>
    <t>C6</t>
  </si>
  <si>
    <t>C8</t>
  </si>
  <si>
    <t>J1, J2, J5, J6</t>
  </si>
  <si>
    <t>J3</t>
  </si>
  <si>
    <t>J4</t>
  </si>
  <si>
    <t>J7</t>
  </si>
  <si>
    <t>L1</t>
  </si>
  <si>
    <t>LED1</t>
  </si>
  <si>
    <t>Q1</t>
  </si>
  <si>
    <t>R1, R3, R5, R12, R13</t>
  </si>
  <si>
    <t>R2</t>
  </si>
  <si>
    <t>R4</t>
  </si>
  <si>
    <t>R6, R9</t>
  </si>
  <si>
    <t>R7, R8, R10, R11</t>
  </si>
  <si>
    <t>SW1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</si>
  <si>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</si>
  <si>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</si>
  <si>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</si>
  <si>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</si>
  <si>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</si>
  <si>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</si>
  <si>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</si>
  <si>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</si>
  <si>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</si>
  <si>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Description</t>
  </si>
  <si>
    <t>CAP CER 0.1UF 10V X5R 0201</t>
  </si>
  <si>
    <t>CAP CER 10UF 10V X5R 0402</t>
  </si>
  <si>
    <t>CAP CER 22UF 10V X5R 0603</t>
  </si>
  <si>
    <t>CAP CER 1UF 10V X5R 0201</t>
  </si>
  <si>
    <t>CAP CER 2.2UF 10V X5R 0201</t>
  </si>
  <si>
    <t>CAP TANT 100UF 20% 6.3V 0603</t>
  </si>
  <si>
    <t>CAP CER 1UF 16V X5R 0201</t>
  </si>
  <si>
    <t>Wire Connecting Pad 0.5mm</t>
  </si>
  <si>
    <t>DC Power Jack Socket Female Panel Mount Connector</t>
  </si>
  <si>
    <t>Wire Connecting Pad</t>
  </si>
  <si>
    <t>FIXED IND 470NH 3.4A 52 MOHM SMD</t>
  </si>
  <si>
    <t>Colorless transparence -40℃~+150℃ 正贴 RGB 120° 1010 Light Emitting Diodes (LED) ROHS</t>
  </si>
  <si>
    <t>40V 100mW 100@10mA,1V 200mA 300MHz 300mV@50mA,5mA NPN -55℃~+150℃@(Tj) SOT-723 Bipolar Transistors - BJT ROHS</t>
  </si>
  <si>
    <t>RES SMD 10K OHM 5% 1/20W 0201</t>
  </si>
  <si>
    <t>50mW Thick Film Resistors ±1% ±200ppm/℃ 22kΩ 0201 Chip Resistor - Surface Mount ROHS</t>
  </si>
  <si>
    <t>50mW Thick Film Resistors ±1% ±200ppm/℃ 33kΩ 0201 Chip Resistor - Surface Mount ROHS</t>
  </si>
  <si>
    <t>50mW Thick Film Resistors ±0.5% 100kΩ 0201 Chip Resistor - Surface Mount ROHS</t>
  </si>
  <si>
    <t>RES 4.7K OHM 1% 1/20W 0201</t>
  </si>
  <si>
    <t>SWITCH TACTILE SPST-NO 0.05A 12V</t>
  </si>
  <si>
    <t>IC REG BOOST 5V 1A 9WLCSP</t>
  </si>
  <si>
    <t>IC SUPERVISOR 1 CHANNEL 6WLP</t>
  </si>
  <si>
    <t>IC REG LINEAR 3V 300MA 4X2SON</t>
  </si>
  <si>
    <t>500MA USB COMPATIBLE SINGLE CELL</t>
  </si>
  <si>
    <t>MOSFET P-CH 20V 3.6A 3LGA</t>
  </si>
  <si>
    <t>RF TXRX MODULE BT TRACE ANT SMD</t>
  </si>
  <si>
    <t>MOSFET N-CH 20V 224MA 3XLLGA</t>
  </si>
  <si>
    <t>IMU ACCEL/GYRO I2C/SPI 14LGA</t>
  </si>
  <si>
    <t>SENSOR FLIPCORE/HALL SPI 12WLCSP</t>
  </si>
  <si>
    <t>Footprint</t>
  </si>
  <si>
    <t>CAP-0201</t>
  </si>
  <si>
    <t>Cap-0402</t>
  </si>
  <si>
    <t>Cap-0603</t>
  </si>
  <si>
    <t>F980J107MMAAXE</t>
  </si>
  <si>
    <t>1 Sensor Pad 0.5mm</t>
  </si>
  <si>
    <t>DC-096</t>
  </si>
  <si>
    <t>Sensor-Pads 0.5mm Dia</t>
  </si>
  <si>
    <t>TC2030-IDC-NL_</t>
  </si>
  <si>
    <t>IND-0806</t>
  </si>
  <si>
    <t>XL-1010RGBC-WS2812B</t>
  </si>
  <si>
    <t>SOT-723</t>
  </si>
  <si>
    <t>Res-0201</t>
  </si>
  <si>
    <t>EVQP7A01P</t>
  </si>
  <si>
    <t>WLCSP-9 (1.22x1.22)</t>
  </si>
  <si>
    <t>WLP-6(0.83x1.24)</t>
  </si>
  <si>
    <t>X2-SON-4(1x1)</t>
  </si>
  <si>
    <t>DFN-6-EP(2x2)</t>
  </si>
  <si>
    <t>PicoStar-3</t>
  </si>
  <si>
    <t>EYSHSNZWZ</t>
  </si>
  <si>
    <t>X-LLGA-3</t>
  </si>
  <si>
    <t>14-LGA (2.5x3)</t>
  </si>
  <si>
    <t>12-WLCSP (1.56x1.56)</t>
  </si>
  <si>
    <t>Manufacturer Part Number</t>
  </si>
  <si>
    <t>CC0201KRX5R6BB104</t>
  </si>
  <si>
    <t>CL05A106MP5NUNC</t>
  </si>
  <si>
    <t>CC0603MRX5R6BB226</t>
  </si>
  <si>
    <t>CC0201MRX5R6BB105</t>
  </si>
  <si>
    <t>CC0201MRX5R6BB225</t>
  </si>
  <si>
    <t>CC0201MRX5R7BB105</t>
  </si>
  <si>
    <t>Sensor Pads</t>
  </si>
  <si>
    <t>1286AS-H-R47M=P2</t>
  </si>
  <si>
    <t>MMBT3904M</t>
  </si>
  <si>
    <t>RC0201JR-0710KL</t>
  </si>
  <si>
    <t>0201WMF2202TEE</t>
  </si>
  <si>
    <t>0201WMF3302TEE</t>
  </si>
  <si>
    <t>0201WMD1003TEE</t>
  </si>
  <si>
    <t>RC0201FR-074K7L</t>
  </si>
  <si>
    <t>EVQ-P7A01P</t>
  </si>
  <si>
    <t>FAN48610UC50X</t>
  </si>
  <si>
    <t>MAX16150AWT+</t>
  </si>
  <si>
    <t>TLV73330PDQNR</t>
  </si>
  <si>
    <t>CSD25501F3</t>
  </si>
  <si>
    <t>NTNS3193NZT5G</t>
  </si>
  <si>
    <t>BMI323</t>
  </si>
  <si>
    <t>BMM150</t>
  </si>
  <si>
    <t>Manufacturer</t>
  </si>
  <si>
    <t>Yageo</t>
  </si>
  <si>
    <t>Samsung</t>
  </si>
  <si>
    <t>Kyocera AVX</t>
  </si>
  <si>
    <t>CW Switch Elec. Store</t>
  </si>
  <si>
    <t>Murata</t>
  </si>
  <si>
    <t>XINGLIGHT</t>
  </si>
  <si>
    <t>TECH PUBLIC</t>
  </si>
  <si>
    <t>UNI-ROYAL</t>
  </si>
  <si>
    <t>Panasonic</t>
  </si>
  <si>
    <t>ON Semiconductor / Fairchild</t>
  </si>
  <si>
    <t>Analog Devices</t>
  </si>
  <si>
    <t>Texas Instruments</t>
  </si>
  <si>
    <t>ON Semiconductor</t>
  </si>
  <si>
    <t>Taiyo Yuden</t>
  </si>
  <si>
    <t>Bosch Sensortec</t>
  </si>
  <si>
    <t>LCSC Part Number</t>
  </si>
  <si>
    <t>C190183</t>
  </si>
  <si>
    <t>C315248</t>
  </si>
  <si>
    <t>C605210</t>
  </si>
  <si>
    <t>C2186869</t>
  </si>
  <si>
    <t>C1955164</t>
  </si>
  <si>
    <t>C5182464</t>
  </si>
  <si>
    <t>C160957</t>
  </si>
  <si>
    <t>C5349953</t>
  </si>
  <si>
    <t>C2923360</t>
  </si>
  <si>
    <t>C138117</t>
  </si>
  <si>
    <t>C473469</t>
  </si>
  <si>
    <t>C473534</t>
  </si>
  <si>
    <t>C778396</t>
  </si>
  <si>
    <t>C138135</t>
  </si>
  <si>
    <t>C79167</t>
  </si>
  <si>
    <t>C890712</t>
  </si>
  <si>
    <t>C1019998</t>
  </si>
  <si>
    <t>C2870830</t>
  </si>
  <si>
    <t>C2872196</t>
  </si>
  <si>
    <t>C179628</t>
  </si>
  <si>
    <t>C5368700</t>
  </si>
  <si>
    <t>C171681</t>
  </si>
  <si>
    <t>0.1uF</t>
  </si>
  <si>
    <t>10uF</t>
  </si>
  <si>
    <t>22uF</t>
  </si>
  <si>
    <t>1uF</t>
  </si>
  <si>
    <t>2.2uF</t>
  </si>
  <si>
    <t>100uF</t>
  </si>
  <si>
    <t>470nH</t>
  </si>
  <si>
    <t>10K</t>
  </si>
  <si>
    <t>22K</t>
  </si>
  <si>
    <t>33k</t>
  </si>
  <si>
    <t>100K</t>
  </si>
  <si>
    <t>4.7K</t>
  </si>
  <si>
    <t>Quantity</t>
  </si>
  <si>
    <t>Alternate Part Number</t>
  </si>
  <si>
    <t>Value</t>
  </si>
  <si>
    <t>Links</t>
  </si>
  <si>
    <t>Remarks</t>
  </si>
  <si>
    <t>Reviewer Remarks</t>
  </si>
  <si>
    <t>FAN54120MP420X</t>
  </si>
  <si>
    <t>C890816</t>
  </si>
  <si>
    <t>Bill of Materials for Project [BLE_product-v1.0]</t>
  </si>
  <si>
    <t>BLE_product-v1.0]</t>
  </si>
  <si>
    <t>-</t>
  </si>
  <si>
    <t>JTAG</t>
  </si>
  <si>
    <t>LCSC</t>
  </si>
  <si>
    <t>Custom</t>
  </si>
  <si>
    <t>CL10A226MP8NUNE</t>
  </si>
  <si>
    <t>C86295</t>
  </si>
  <si>
    <t>Quantity (10 Boards)</t>
  </si>
  <si>
    <t xml:space="preserve"> MOQ (10 Boards)</t>
  </si>
  <si>
    <t>Quantity (20 Boards)</t>
  </si>
  <si>
    <t xml:space="preserve"> MOQ (20 Boards)</t>
  </si>
  <si>
    <t>Unit Cost (20 Boards)</t>
  </si>
  <si>
    <t>Total Cost (20 Boards)</t>
  </si>
  <si>
    <t>Unit Cost (10 Boards)</t>
  </si>
  <si>
    <t>Total Cost (10 Boards)</t>
  </si>
  <si>
    <t>Quantity (50 Boards)</t>
  </si>
  <si>
    <t xml:space="preserve"> MOQ (50 Boards)</t>
  </si>
  <si>
    <t>Unit Cost (50 Boards)</t>
  </si>
  <si>
    <t>Total Cost (50 Boards)</t>
  </si>
  <si>
    <t>Peripherals</t>
  </si>
  <si>
    <t>dc2.0*0.5mm USB Charger Cable Small Pin Charging Cord</t>
  </si>
  <si>
    <t>USB DC 2.0*0.5mm Charging Cable for Mini S530 Smallest Invisible Wireless Bluetooth Earbuds Earphones Headphones Headset</t>
  </si>
  <si>
    <t xml:space="preserve">“No Legs” 6-pin Plug-of-Nails™ Cable fitted with a 6-pin 0.1″ pitch ribbon connector.
</t>
  </si>
  <si>
    <t>TC2030-IDC-NL</t>
  </si>
  <si>
    <t>Aliexpress</t>
  </si>
  <si>
    <t>Tag Connect</t>
  </si>
  <si>
    <t>Chipsmall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</si>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</sst>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11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4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1" xfId="0" applyNumberFormat="1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 vertical="center" wrapText="1"/>
    </xf>
    <xf numFmtId="165" fontId="18" fillId="2" borderId="17" xfId="0" applyNumberFormat="1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8" fillId="2" borderId="22" xfId="0" applyFont="1" applyFill="1" applyBorder="1" applyAlignment="1">
      <alignment horizontal="center" vertical="center" wrapText="1"/>
    </xf>
    <xf numFmtId="0" fontId="22" fillId="2" borderId="16" xfId="1" applyFill="1" applyBorder="1" applyAlignment="1">
      <alignment horizontal="center" vertical="center" wrapText="1"/>
    </xf>
    <xf numFmtId="0" fontId="22" fillId="2" borderId="17" xfId="1" applyFill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 wrapText="1"/>
    </xf>
    <xf numFmtId="0" fontId="24" fillId="2" borderId="17" xfId="0" applyFont="1" applyFill="1" applyBorder="1" applyAlignment="1">
      <alignment horizontal="center" vertical="center" wrapText="1"/>
    </xf>
    <xf numFmtId="165" fontId="24" fillId="2" borderId="17" xfId="0" applyNumberFormat="1" applyFont="1" applyFill="1" applyBorder="1" applyAlignment="1">
      <alignment horizontal="center" vertical="center" wrapText="1"/>
    </xf>
    <xf numFmtId="0" fontId="24" fillId="2" borderId="22" xfId="0" applyFont="1" applyFill="1" applyBorder="1" applyAlignment="1">
      <alignment horizontal="center" vertical="center" wrapText="1"/>
    </xf>
    <xf numFmtId="0" fontId="24" fillId="2" borderId="16" xfId="0" applyFont="1" applyFill="1" applyBorder="1" applyAlignment="1">
      <alignment horizontal="center" vertical="center" wrapText="1"/>
    </xf>
    <xf numFmtId="0" fontId="23" fillId="2" borderId="16" xfId="0" applyFont="1" applyFill="1" applyBorder="1" applyAlignment="1">
      <alignment horizontal="center" vertical="center" wrapText="1"/>
    </xf>
    <xf numFmtId="165" fontId="24" fillId="2" borderId="16" xfId="0" applyNumberFormat="1" applyFont="1" applyFill="1" applyBorder="1" applyAlignment="1">
      <alignment horizontal="center" vertical="center" wrapText="1"/>
    </xf>
    <xf numFmtId="0" fontId="24" fillId="2" borderId="2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0" xfId="0" applyFont="1" applyFill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20" fillId="3" borderId="20" xfId="0" applyFont="1" applyFill="1" applyBorder="1" applyAlignment="1" applyProtection="1">
      <alignment horizontal="center" vertical="top"/>
      <protection locked="0"/>
    </xf>
    <xf numFmtId="0" fontId="20" fillId="3" borderId="12" xfId="0" applyFont="1" applyFill="1" applyBorder="1" applyAlignment="1" applyProtection="1">
      <alignment horizontal="center" vertical="top"/>
      <protection locked="0"/>
    </xf>
    <xf numFmtId="0" fontId="18" fillId="2" borderId="2" xfId="0" applyFont="1" applyFill="1" applyBorder="1" applyAlignment="1">
      <alignment horizontal="center" vertical="center" wrapText="1"/>
    </xf>
    <xf numFmtId="0" fontId="25" fillId="2" borderId="16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24" xfId="0" applyFont="1" applyFill="1" applyBorder="1" applyAlignment="1">
      <alignment horizontal="center" vertical="center" wrapText="1"/>
    </xf>
    <xf numFmtId="0" fontId="22" fillId="0" borderId="0" xfId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20" fillId="3" borderId="14" xfId="0" applyFont="1" applyFill="1" applyBorder="1" applyAlignment="1" applyProtection="1">
      <alignment horizontal="center" vertical="top"/>
      <protection locked="0"/>
    </xf>
    <xf numFmtId="0" fontId="22" fillId="0" borderId="6" xfId="1" applyBorder="1" applyAlignment="1">
      <alignment horizontal="center" vertical="center"/>
    </xf>
    <xf numFmtId="0" fontId="20" fillId="3" borderId="3" xfId="0" applyFont="1" applyFill="1" applyBorder="1" applyAlignment="1" applyProtection="1">
      <alignment horizontal="center" vertical="top"/>
      <protection locked="0"/>
    </xf>
    <xf numFmtId="0" fontId="18" fillId="2" borderId="23" xfId="0" applyFont="1" applyFill="1" applyBorder="1" applyAlignment="1">
      <alignment horizontal="center" vertical="center" wrapText="1"/>
    </xf>
    <xf numFmtId="166" fontId="15" fillId="3" borderId="21" xfId="0" quotePrefix="1" applyNumberFormat="1" applyFont="1" applyFill="1" applyBorder="1" applyAlignment="1">
      <alignment horizontal="center" vertical="center" wrapText="1"/>
    </xf>
    <xf numFmtId="0" fontId="18" fillId="2" borderId="25" xfId="0" applyFont="1" applyFill="1" applyBorder="1" applyAlignment="1">
      <alignment horizontal="center" vertical="center" wrapText="1"/>
    </xf>
    <xf numFmtId="0" fontId="18" fillId="2" borderId="21" xfId="0" applyFont="1" applyFill="1" applyBorder="1" applyAlignment="1">
      <alignment horizontal="center" vertical="center" wrapText="1"/>
    </xf>
    <xf numFmtId="165" fontId="18" fillId="2" borderId="25" xfId="0" applyNumberFormat="1" applyFont="1" applyFill="1" applyBorder="1" applyAlignment="1">
      <alignment horizontal="center" vertical="center" wrapText="1"/>
    </xf>
    <xf numFmtId="165" fontId="18" fillId="2" borderId="19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2" fillId="0" borderId="23" xfId="1" applyBorder="1" applyAlignment="1">
      <alignment horizontal="center" vertical="center" wrapText="1"/>
    </xf>
    <xf numFmtId="0" fontId="22" fillId="0" borderId="17" xfId="1" applyBorder="1" applyAlignment="1">
      <alignment horizontal="center" vertical="center"/>
    </xf>
    <xf numFmtId="0" fontId="22" fillId="0" borderId="19" xfId="1" applyBorder="1" applyAlignment="1">
      <alignment horizontal="center" vertical="center"/>
    </xf>
    <xf numFmtId="165" fontId="18" fillId="2" borderId="7" xfId="0" applyNumberFormat="1" applyFont="1" applyFill="1" applyBorder="1" applyAlignment="1">
      <alignment horizontal="center" vertical="center" wrapText="1"/>
    </xf>
    <xf numFmtId="165" fontId="18" fillId="2" borderId="26" xfId="0" applyNumberFormat="1" applyFont="1" applyFill="1" applyBorder="1" applyAlignment="1">
      <alignment horizontal="center" vertical="center" wrapText="1"/>
    </xf>
    <xf numFmtId="165" fontId="18" fillId="2" borderId="27" xfId="0" applyNumberFormat="1" applyFont="1" applyFill="1" applyBorder="1" applyAlignment="1">
      <alignment horizontal="center" vertical="center" wrapText="1"/>
    </xf>
    <xf numFmtId="165" fontId="18" fillId="2" borderId="28" xfId="0" applyNumberFormat="1" applyFont="1" applyFill="1" applyBorder="1" applyAlignment="1">
      <alignment horizontal="center" vertical="center" wrapText="1"/>
    </xf>
    <xf numFmtId="0" fontId="18" fillId="2" borderId="29" xfId="0" applyFont="1" applyFill="1" applyBorder="1" applyAlignment="1">
      <alignment horizontal="center" vertical="center" wrapText="1"/>
    </xf>
    <xf numFmtId="0" fontId="18" fillId="2" borderId="30" xfId="0" applyFont="1" applyFill="1" applyBorder="1" applyAlignment="1">
      <alignment horizontal="center" vertical="center" wrapText="1"/>
    </xf>
    <xf numFmtId="0" fontId="18" fillId="2" borderId="31" xfId="0" applyFont="1" applyFill="1" applyBorder="1" applyAlignment="1">
      <alignment horizontal="center" vertical="center" wrapText="1"/>
    </xf>
    <xf numFmtId="0" fontId="17" fillId="4" borderId="20" xfId="0" applyFont="1" applyFill="1" applyBorder="1" applyAlignment="1">
      <alignment horizontal="center" vertical="center"/>
    </xf>
    <xf numFmtId="165" fontId="18" fillId="2" borderId="4" xfId="0" applyNumberFormat="1" applyFont="1" applyFill="1" applyBorder="1" applyAlignment="1">
      <alignment horizontal="center" vertical="center" wrapText="1"/>
    </xf>
    <xf numFmtId="165" fontId="24" fillId="2" borderId="27" xfId="0" applyNumberFormat="1" applyFont="1" applyFill="1" applyBorder="1" applyAlignment="1">
      <alignment horizontal="center" vertical="center" wrapText="1"/>
    </xf>
    <xf numFmtId="165" fontId="24" fillId="2" borderId="4" xfId="0" applyNumberFormat="1" applyFont="1" applyFill="1" applyBorder="1" applyAlignment="1">
      <alignment horizontal="center" vertical="center" wrapText="1"/>
    </xf>
    <xf numFmtId="0" fontId="17" fillId="4" borderId="13" xfId="0" applyFont="1" applyFill="1" applyBorder="1" applyAlignment="1">
      <alignment horizontal="center" vertical="center"/>
    </xf>
    <xf numFmtId="0" fontId="24" fillId="2" borderId="30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wrapText="1"/>
    </xf>
    <xf numFmtId="0" fontId="22" fillId="0" borderId="6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545300" y="620017"/>
          <a:ext cx="1714500" cy="11040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545300" y="620017"/>
          <a:ext cx="1714500" cy="11040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430875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Light-Emitting-Diodes-LED_XINGLIGHT-XL-1010RGBC-WS2812B_C5349953.html" TargetMode="External"/><Relationship Id="rId13" Type="http://schemas.openxmlformats.org/officeDocument/2006/relationships/hyperlink" Target="https://www.lcsc.com/product-detail/Chip-Resistor-Surface-Mount_UNI-ROYAL-Uniroyal-Elec-0201WMD1003TEE_C778396.html" TargetMode="External"/><Relationship Id="rId18" Type="http://schemas.openxmlformats.org/officeDocument/2006/relationships/hyperlink" Target="https://www.lcsc.com/product-detail/Battery-Management-ICs_onsemi-FAN54120MP420X_C890816.html" TargetMode="External"/><Relationship Id="rId26" Type="http://schemas.openxmlformats.org/officeDocument/2006/relationships/hyperlink" Target="https://www.tag-connect.com/product/tc2030-idc-nl" TargetMode="External"/><Relationship Id="rId3" Type="http://schemas.openxmlformats.org/officeDocument/2006/relationships/hyperlink" Target="https://www.lcsc.com/product-detail/Multilayer-Ceramic-Capacitors-MLCC-SMD-SMT_YAGEO-CC0201MRX5R6BB105_C605210.html" TargetMode="External"/><Relationship Id="rId21" Type="http://schemas.openxmlformats.org/officeDocument/2006/relationships/hyperlink" Target="https://www.lcsc.com/product-detail/Attitude-Sensor-Gyroscope_Bosch-Sensortec-BMI323_C5368700.html" TargetMode="External"/><Relationship Id="rId7" Type="http://schemas.openxmlformats.org/officeDocument/2006/relationships/hyperlink" Target="https://www.lcsc.com/product-detail/Inductors-SMD_Murata-Electronics-1286AS-H-R47M-P2_C160957.html" TargetMode="External"/><Relationship Id="rId12" Type="http://schemas.openxmlformats.org/officeDocument/2006/relationships/hyperlink" Target="https://www.lcsc.com/product-detail/Chip-Resistor-Surface-Mount_UNI-ROYAL-Uniroyal-Elec-0201WMF3302TEE_C473534.html" TargetMode="External"/><Relationship Id="rId17" Type="http://schemas.openxmlformats.org/officeDocument/2006/relationships/hyperlink" Target="https://www.lcsc.com/product-detail/Linear-Voltage-Regulators-LDO_Texas-Instruments-TLV73330PDQNR_C2870830.html" TargetMode="External"/><Relationship Id="rId25" Type="http://schemas.openxmlformats.org/officeDocument/2006/relationships/hyperlink" Target="https://www.chipsmall.com/Products/EYSHSNZWZ_11058362.html" TargetMode="External"/><Relationship Id="rId2" Type="http://schemas.openxmlformats.org/officeDocument/2006/relationships/hyperlink" Target="https://www.lcsc.com/product-detail/Multilayer-Ceramic-Capacitors-MLCC-SMD-SMT_Samsung-Electro-Mechanics-CL05A106MP5NUNC_C315248.html" TargetMode="External"/><Relationship Id="rId16" Type="http://schemas.openxmlformats.org/officeDocument/2006/relationships/hyperlink" Target="https://www.lcsc.com/product-detail/DC-DC-Converters_onsemi-FAN48610UC50X_C890712.html" TargetMode="External"/><Relationship Id="rId20" Type="http://schemas.openxmlformats.org/officeDocument/2006/relationships/hyperlink" Target="https://www.lcsc.com/product-detail/MOSFETs_onsemi-NTNS3193NZT5G_C179628.html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https://www.lcsc.com/product-detail/Multilayer-Ceramic-Capacitors-MLCC-SMD-SMT_YAGEO-CC0201KRX5R6BB104_C190183.html" TargetMode="External"/><Relationship Id="rId6" Type="http://schemas.openxmlformats.org/officeDocument/2006/relationships/hyperlink" Target="https://www.lcsc.com/product-detail/Multilayer-Ceramic-Capacitors-MLCC-SMD-SMT_YAGEO-CC0201MRX5R7BB105_C5182464.html" TargetMode="External"/><Relationship Id="rId11" Type="http://schemas.openxmlformats.org/officeDocument/2006/relationships/hyperlink" Target="https://www.lcsc.com/product-detail/Chip-Resistor-Surface-Mount_UNI-ROYAL-Uniroyal-Elec-0201WMF2202TEE_C473469.html" TargetMode="External"/><Relationship Id="rId24" Type="http://schemas.openxmlformats.org/officeDocument/2006/relationships/hyperlink" Target="https://vi.aliexpress.com/item/4001280445381.html?gatewayAdapt=glo2vnm" TargetMode="External"/><Relationship Id="rId5" Type="http://schemas.openxmlformats.org/officeDocument/2006/relationships/hyperlink" Target="https://www.lcsc.com/product-detail/Tantalum-Capacitors_Kyocera-AVX-F980J107MMAAXE_C1955164.html" TargetMode="External"/><Relationship Id="rId15" Type="http://schemas.openxmlformats.org/officeDocument/2006/relationships/hyperlink" Target="https://www.lcsc.com/product-detail/Tactile-Switches_PANASONIC-EVQP7A01P_C79167.html" TargetMode="External"/><Relationship Id="rId23" Type="http://schemas.openxmlformats.org/officeDocument/2006/relationships/hyperlink" Target="https://www.lcsc.com/product-detail/Multilayer-Ceramic-Capacitors-MLCC-SMD-SMT_Samsung-Electro-Mechanics-CL10A226MP8NUNE_C86295.html" TargetMode="External"/><Relationship Id="rId28" Type="http://schemas.openxmlformats.org/officeDocument/2006/relationships/hyperlink" Target="https://vi.aliexpress.com/item/1005003337541329.html" TargetMode="External"/><Relationship Id="rId10" Type="http://schemas.openxmlformats.org/officeDocument/2006/relationships/hyperlink" Target="https://www.lcsc.com/product-detail/Chip-Resistor-Surface-Mount_YAGEO-RC0201JR-0710KL_C138117.html" TargetMode="External"/><Relationship Id="rId19" Type="http://schemas.openxmlformats.org/officeDocument/2006/relationships/hyperlink" Target="https://www.lcsc.com/product-detail/MOSFETs_Texas-Instruments-CSD25501F3_C2872196.html" TargetMode="External"/><Relationship Id="rId4" Type="http://schemas.openxmlformats.org/officeDocument/2006/relationships/hyperlink" Target="https://www.lcsc.com/product-detail/Multilayer-Ceramic-Capacitors-MLCC-SMD-SMT_YAGEO-CC0201MRX5R6BB225_C2186869.html" TargetMode="External"/><Relationship Id="rId9" Type="http://schemas.openxmlformats.org/officeDocument/2006/relationships/hyperlink" Target="https://www.lcsc.com/product-detail/Bipolar-Transistors-BJT_TECH-PUBLIC-MMBT3904M_C2923360.html" TargetMode="External"/><Relationship Id="rId14" Type="http://schemas.openxmlformats.org/officeDocument/2006/relationships/hyperlink" Target="https://www.lcsc.com/product-detail/Chip-Resistor-Surface-Mount_YAGEO-RC0201FR-074K7L_C138135.html" TargetMode="External"/><Relationship Id="rId22" Type="http://schemas.openxmlformats.org/officeDocument/2006/relationships/hyperlink" Target="https://www.lcsc.com/product-detail/Hall-Sensor_Bosch-Sensortec-BMM150_C171681.html" TargetMode="External"/><Relationship Id="rId27" Type="http://schemas.openxmlformats.org/officeDocument/2006/relationships/hyperlink" Target="https://vi.aliexpress.com/item/33058603648.html" TargetMode="External"/><Relationship Id="rId30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Light-Emitting-Diodes-LED_XINGLIGHT-XL-1010RGBC-WS2812B_C5349953.html" TargetMode="External"/><Relationship Id="rId13" Type="http://schemas.openxmlformats.org/officeDocument/2006/relationships/hyperlink" Target="https://www.lcsc.com/product-detail/Chip-Resistor-Surface-Mount_UNI-ROYAL-Uniroyal-Elec-0201WMD1003TEE_C778396.html" TargetMode="External"/><Relationship Id="rId18" Type="http://schemas.openxmlformats.org/officeDocument/2006/relationships/hyperlink" Target="https://www.lcsc.com/product-detail/Battery-Management-ICs_onsemi-FAN54120MP420X_C890816.html" TargetMode="External"/><Relationship Id="rId26" Type="http://schemas.openxmlformats.org/officeDocument/2006/relationships/hyperlink" Target="https://vi.aliexpress.com/item/1005003337541329.html" TargetMode="External"/><Relationship Id="rId3" Type="http://schemas.openxmlformats.org/officeDocument/2006/relationships/hyperlink" Target="https://www.lcsc.com/product-detail/Multilayer-Ceramic-Capacitors-MLCC-SMD-SMT_YAGEO-CC0201MRX5R6BB105_C605210.html" TargetMode="External"/><Relationship Id="rId21" Type="http://schemas.openxmlformats.org/officeDocument/2006/relationships/hyperlink" Target="https://www.lcsc.com/product-detail/Attitude-Sensor-Gyroscope_Bosch-Sensortec-BMI323_C5368700.html" TargetMode="External"/><Relationship Id="rId7" Type="http://schemas.openxmlformats.org/officeDocument/2006/relationships/hyperlink" Target="https://www.lcsc.com/product-detail/Inductors-SMD_Murata-Electronics-1286AS-H-R47M-P2_C160957.html" TargetMode="External"/><Relationship Id="rId12" Type="http://schemas.openxmlformats.org/officeDocument/2006/relationships/hyperlink" Target="https://www.lcsc.com/product-detail/Chip-Resistor-Surface-Mount_UNI-ROYAL-Uniroyal-Elec-0201WMF3302TEE_C473534.html" TargetMode="External"/><Relationship Id="rId17" Type="http://schemas.openxmlformats.org/officeDocument/2006/relationships/hyperlink" Target="https://www.lcsc.com/product-detail/Linear-Voltage-Regulators-LDO_Texas-Instruments-TLV73330PDQNR_C2870830.html" TargetMode="External"/><Relationship Id="rId25" Type="http://schemas.openxmlformats.org/officeDocument/2006/relationships/hyperlink" Target="https://vi.aliexpress.com/item/33058603648.html" TargetMode="External"/><Relationship Id="rId2" Type="http://schemas.openxmlformats.org/officeDocument/2006/relationships/hyperlink" Target="https://www.lcsc.com/product-detail/Multilayer-Ceramic-Capacitors-MLCC-SMD-SMT_Samsung-Electro-Mechanics-CL05A106MP5NUNC_C315248.html" TargetMode="External"/><Relationship Id="rId16" Type="http://schemas.openxmlformats.org/officeDocument/2006/relationships/hyperlink" Target="https://www.lcsc.com/product-detail/DC-DC-Converters_onsemi-FAN48610UC50X_C890712.html" TargetMode="External"/><Relationship Id="rId20" Type="http://schemas.openxmlformats.org/officeDocument/2006/relationships/hyperlink" Target="https://www.lcsc.com/product-detail/MOSFETs_onsemi-NTNS3193NZT5G_C179628.html" TargetMode="External"/><Relationship Id="rId29" Type="http://schemas.openxmlformats.org/officeDocument/2006/relationships/drawing" Target="../drawings/drawing2.xml"/><Relationship Id="rId1" Type="http://schemas.openxmlformats.org/officeDocument/2006/relationships/hyperlink" Target="https://www.lcsc.com/product-detail/Multilayer-Ceramic-Capacitors-MLCC-SMD-SMT_YAGEO-CC0201KRX5R6BB104_C190183.html" TargetMode="External"/><Relationship Id="rId6" Type="http://schemas.openxmlformats.org/officeDocument/2006/relationships/hyperlink" Target="https://www.lcsc.com/product-detail/Multilayer-Ceramic-Capacitors-MLCC-SMD-SMT_YAGEO-CC0201MRX5R7BB105_C5182464.html" TargetMode="External"/><Relationship Id="rId11" Type="http://schemas.openxmlformats.org/officeDocument/2006/relationships/hyperlink" Target="https://www.lcsc.com/product-detail/Chip-Resistor-Surface-Mount_UNI-ROYAL-Uniroyal-Elec-0201WMF2202TEE_C473469.html" TargetMode="External"/><Relationship Id="rId24" Type="http://schemas.openxmlformats.org/officeDocument/2006/relationships/hyperlink" Target="https://www.tag-connect.com/product/tc2030-idc-nl" TargetMode="External"/><Relationship Id="rId5" Type="http://schemas.openxmlformats.org/officeDocument/2006/relationships/hyperlink" Target="https://www.lcsc.com/product-detail/Tantalum-Capacitors_Kyocera-AVX-F980J107MMAAXE_C1955164.html" TargetMode="External"/><Relationship Id="rId15" Type="http://schemas.openxmlformats.org/officeDocument/2006/relationships/hyperlink" Target="https://www.lcsc.com/product-detail/Tactile-Switches_PANASONIC-EVQP7A01P_C79167.html" TargetMode="External"/><Relationship Id="rId23" Type="http://schemas.openxmlformats.org/officeDocument/2006/relationships/hyperlink" Target="https://www.lcsc.com/product-detail/Multilayer-Ceramic-Capacitors-MLCC-SMD-SMT_Samsung-Electro-Mechanics-CL10A226MP8NUNE_C86295.html" TargetMode="External"/><Relationship Id="rId28" Type="http://schemas.openxmlformats.org/officeDocument/2006/relationships/hyperlink" Target="https://vi.aliexpress.com/item/4001280445381.html?gatewayAdapt=glo2vnm" TargetMode="External"/><Relationship Id="rId10" Type="http://schemas.openxmlformats.org/officeDocument/2006/relationships/hyperlink" Target="https://www.lcsc.com/product-detail/Chip-Resistor-Surface-Mount_YAGEO-RC0201JR-0710KL_C138117.html" TargetMode="External"/><Relationship Id="rId19" Type="http://schemas.openxmlformats.org/officeDocument/2006/relationships/hyperlink" Target="https://www.lcsc.com/product-detail/MOSFETs_Texas-Instruments-CSD25501F3_C2872196.html" TargetMode="External"/><Relationship Id="rId4" Type="http://schemas.openxmlformats.org/officeDocument/2006/relationships/hyperlink" Target="https://www.lcsc.com/product-detail/Multilayer-Ceramic-Capacitors-MLCC-SMD-SMT_YAGEO-CC0201MRX5R6BB225_C2186869.html" TargetMode="External"/><Relationship Id="rId9" Type="http://schemas.openxmlformats.org/officeDocument/2006/relationships/hyperlink" Target="https://www.lcsc.com/product-detail/Bipolar-Transistors-BJT_TECH-PUBLIC-MMBT3904M_C2923360.html" TargetMode="External"/><Relationship Id="rId14" Type="http://schemas.openxmlformats.org/officeDocument/2006/relationships/hyperlink" Target="https://www.lcsc.com/product-detail/Chip-Resistor-Surface-Mount_YAGEO-RC0201FR-074K7L_C138135.html" TargetMode="External"/><Relationship Id="rId22" Type="http://schemas.openxmlformats.org/officeDocument/2006/relationships/hyperlink" Target="https://www.lcsc.com/product-detail/Hall-Sensor_Bosch-Sensortec-BMM150_C171681.html" TargetMode="External"/><Relationship Id="rId27" Type="http://schemas.openxmlformats.org/officeDocument/2006/relationships/hyperlink" Target="https://www.chipsmall.com/Products/EYSHSNZWZ_11058362.html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Light-Emitting-Diodes-LED_XINGLIGHT-XL-1010RGBC-WS2812B_C5349953.html" TargetMode="External"/><Relationship Id="rId13" Type="http://schemas.openxmlformats.org/officeDocument/2006/relationships/hyperlink" Target="https://www.lcsc.com/product-detail/Chip-Resistor-Surface-Mount_UNI-ROYAL-Uniroyal-Elec-0201WMD1003TEE_C778396.html" TargetMode="External"/><Relationship Id="rId18" Type="http://schemas.openxmlformats.org/officeDocument/2006/relationships/hyperlink" Target="https://www.lcsc.com/product-detail/Battery-Management-ICs_onsemi-FAN54120MP420X_C890816.html" TargetMode="External"/><Relationship Id="rId26" Type="http://schemas.openxmlformats.org/officeDocument/2006/relationships/hyperlink" Target="https://vi.aliexpress.com/item/1005003337541329.html" TargetMode="External"/><Relationship Id="rId3" Type="http://schemas.openxmlformats.org/officeDocument/2006/relationships/hyperlink" Target="https://www.lcsc.com/product-detail/Multilayer-Ceramic-Capacitors-MLCC-SMD-SMT_YAGEO-CC0201MRX5R6BB105_C605210.html" TargetMode="External"/><Relationship Id="rId21" Type="http://schemas.openxmlformats.org/officeDocument/2006/relationships/hyperlink" Target="https://www.lcsc.com/product-detail/Attitude-Sensor-Gyroscope_Bosch-Sensortec-BMI323_C5368700.html" TargetMode="External"/><Relationship Id="rId7" Type="http://schemas.openxmlformats.org/officeDocument/2006/relationships/hyperlink" Target="https://www.lcsc.com/product-detail/Inductors-SMD_Murata-Electronics-1286AS-H-R47M-P2_C160957.html" TargetMode="External"/><Relationship Id="rId12" Type="http://schemas.openxmlformats.org/officeDocument/2006/relationships/hyperlink" Target="https://www.lcsc.com/product-detail/Chip-Resistor-Surface-Mount_UNI-ROYAL-Uniroyal-Elec-0201WMF3302TEE_C473534.html" TargetMode="External"/><Relationship Id="rId17" Type="http://schemas.openxmlformats.org/officeDocument/2006/relationships/hyperlink" Target="https://www.lcsc.com/product-detail/Linear-Voltage-Regulators-LDO_Texas-Instruments-TLV73330PDQNR_C2870830.html" TargetMode="External"/><Relationship Id="rId25" Type="http://schemas.openxmlformats.org/officeDocument/2006/relationships/hyperlink" Target="https://vi.aliexpress.com/item/33058603648.html" TargetMode="External"/><Relationship Id="rId2" Type="http://schemas.openxmlformats.org/officeDocument/2006/relationships/hyperlink" Target="https://www.lcsc.com/product-detail/Multilayer-Ceramic-Capacitors-MLCC-SMD-SMT_Samsung-Electro-Mechanics-CL05A106MP5NUNC_C315248.html" TargetMode="External"/><Relationship Id="rId16" Type="http://schemas.openxmlformats.org/officeDocument/2006/relationships/hyperlink" Target="https://www.lcsc.com/product-detail/DC-DC-Converters_onsemi-FAN48610UC50X_C890712.html" TargetMode="External"/><Relationship Id="rId20" Type="http://schemas.openxmlformats.org/officeDocument/2006/relationships/hyperlink" Target="https://www.lcsc.com/product-detail/MOSFETs_onsemi-NTNS3193NZT5G_C179628.html" TargetMode="External"/><Relationship Id="rId29" Type="http://schemas.openxmlformats.org/officeDocument/2006/relationships/printerSettings" Target="../printerSettings/printerSettings2.bin"/><Relationship Id="rId1" Type="http://schemas.openxmlformats.org/officeDocument/2006/relationships/hyperlink" Target="https://www.lcsc.com/product-detail/Multilayer-Ceramic-Capacitors-MLCC-SMD-SMT_YAGEO-CC0201KRX5R6BB104_C190183.html" TargetMode="External"/><Relationship Id="rId6" Type="http://schemas.openxmlformats.org/officeDocument/2006/relationships/hyperlink" Target="https://www.lcsc.com/product-detail/Multilayer-Ceramic-Capacitors-MLCC-SMD-SMT_YAGEO-CC0201MRX5R7BB105_C5182464.html" TargetMode="External"/><Relationship Id="rId11" Type="http://schemas.openxmlformats.org/officeDocument/2006/relationships/hyperlink" Target="https://www.lcsc.com/product-detail/Chip-Resistor-Surface-Mount_UNI-ROYAL-Uniroyal-Elec-0201WMF2202TEE_C473469.html" TargetMode="External"/><Relationship Id="rId24" Type="http://schemas.openxmlformats.org/officeDocument/2006/relationships/hyperlink" Target="https://www.tag-connect.com/product/tc2030-idc-nl" TargetMode="External"/><Relationship Id="rId5" Type="http://schemas.openxmlformats.org/officeDocument/2006/relationships/hyperlink" Target="https://www.lcsc.com/product-detail/Tantalum-Capacitors_Kyocera-AVX-F980J107MMAAXE_C1955164.html" TargetMode="External"/><Relationship Id="rId15" Type="http://schemas.openxmlformats.org/officeDocument/2006/relationships/hyperlink" Target="https://www.lcsc.com/product-detail/Tactile-Switches_PANASONIC-EVQP7A01P_C79167.html" TargetMode="External"/><Relationship Id="rId23" Type="http://schemas.openxmlformats.org/officeDocument/2006/relationships/hyperlink" Target="https://www.lcsc.com/product-detail/Multilayer-Ceramic-Capacitors-MLCC-SMD-SMT_Samsung-Electro-Mechanics-CL10A226MP8NUNE_C86295.html" TargetMode="External"/><Relationship Id="rId28" Type="http://schemas.openxmlformats.org/officeDocument/2006/relationships/hyperlink" Target="https://vi.aliexpress.com/item/4001280445381.html?gatewayAdapt=glo2vnm" TargetMode="External"/><Relationship Id="rId10" Type="http://schemas.openxmlformats.org/officeDocument/2006/relationships/hyperlink" Target="https://www.lcsc.com/product-detail/Chip-Resistor-Surface-Mount_YAGEO-RC0201JR-0710KL_C138117.html" TargetMode="External"/><Relationship Id="rId19" Type="http://schemas.openxmlformats.org/officeDocument/2006/relationships/hyperlink" Target="https://www.lcsc.com/product-detail/MOSFETs_Texas-Instruments-CSD25501F3_C2872196.html" TargetMode="External"/><Relationship Id="rId4" Type="http://schemas.openxmlformats.org/officeDocument/2006/relationships/hyperlink" Target="https://www.lcsc.com/product-detail/Multilayer-Ceramic-Capacitors-MLCC-SMD-SMT_YAGEO-CC0201MRX5R6BB225_C2186869.html" TargetMode="External"/><Relationship Id="rId9" Type="http://schemas.openxmlformats.org/officeDocument/2006/relationships/hyperlink" Target="https://www.lcsc.com/product-detail/Bipolar-Transistors-BJT_TECH-PUBLIC-MMBT3904M_C2923360.html" TargetMode="External"/><Relationship Id="rId14" Type="http://schemas.openxmlformats.org/officeDocument/2006/relationships/hyperlink" Target="https://www.lcsc.com/product-detail/Chip-Resistor-Surface-Mount_YAGEO-RC0201FR-074K7L_C138135.html" TargetMode="External"/><Relationship Id="rId22" Type="http://schemas.openxmlformats.org/officeDocument/2006/relationships/hyperlink" Target="https://www.lcsc.com/product-detail/Hall-Sensor_Bosch-Sensortec-BMM150_C171681.html" TargetMode="External"/><Relationship Id="rId27" Type="http://schemas.openxmlformats.org/officeDocument/2006/relationships/hyperlink" Target="https://www.chipsmall.com/Products/EYSHSNZWZ_11058362.html" TargetMode="External"/><Relationship Id="rId30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Light-Emitting-Diodes-LED_XINGLIGHT-XL-1010RGBC-WS2812B_C5349953.html" TargetMode="External"/><Relationship Id="rId13" Type="http://schemas.openxmlformats.org/officeDocument/2006/relationships/hyperlink" Target="https://www.lcsc.com/product-detail/Chip-Resistor-Surface-Mount_UNI-ROYAL-Uniroyal-Elec-0201WMD1003TEE_C778396.html" TargetMode="External"/><Relationship Id="rId18" Type="http://schemas.openxmlformats.org/officeDocument/2006/relationships/hyperlink" Target="https://www.lcsc.com/product-detail/Battery-Management-ICs_onsemi-FAN54120MP420X_C890816.html" TargetMode="External"/><Relationship Id="rId26" Type="http://schemas.openxmlformats.org/officeDocument/2006/relationships/hyperlink" Target="https://vi.aliexpress.com/item/1005003337541329.html" TargetMode="External"/><Relationship Id="rId3" Type="http://schemas.openxmlformats.org/officeDocument/2006/relationships/hyperlink" Target="https://www.lcsc.com/product-detail/Multilayer-Ceramic-Capacitors-MLCC-SMD-SMT_YAGEO-CC0201MRX5R6BB105_C605210.html" TargetMode="External"/><Relationship Id="rId21" Type="http://schemas.openxmlformats.org/officeDocument/2006/relationships/hyperlink" Target="https://www.lcsc.com/product-detail/Attitude-Sensor-Gyroscope_Bosch-Sensortec-BMI323_C5368700.html" TargetMode="External"/><Relationship Id="rId7" Type="http://schemas.openxmlformats.org/officeDocument/2006/relationships/hyperlink" Target="https://www.lcsc.com/product-detail/Inductors-SMD_Murata-Electronics-1286AS-H-R47M-P2_C160957.html" TargetMode="External"/><Relationship Id="rId12" Type="http://schemas.openxmlformats.org/officeDocument/2006/relationships/hyperlink" Target="https://www.lcsc.com/product-detail/Chip-Resistor-Surface-Mount_UNI-ROYAL-Uniroyal-Elec-0201WMF3302TEE_C473534.html" TargetMode="External"/><Relationship Id="rId17" Type="http://schemas.openxmlformats.org/officeDocument/2006/relationships/hyperlink" Target="https://www.lcsc.com/product-detail/Linear-Voltage-Regulators-LDO_Texas-Instruments-TLV73330PDQNR_C2870830.html" TargetMode="External"/><Relationship Id="rId25" Type="http://schemas.openxmlformats.org/officeDocument/2006/relationships/hyperlink" Target="https://vi.aliexpress.com/item/33058603648.html" TargetMode="External"/><Relationship Id="rId2" Type="http://schemas.openxmlformats.org/officeDocument/2006/relationships/hyperlink" Target="https://www.lcsc.com/product-detail/Multilayer-Ceramic-Capacitors-MLCC-SMD-SMT_Samsung-Electro-Mechanics-CL05A106MP5NUNC_C315248.html" TargetMode="External"/><Relationship Id="rId16" Type="http://schemas.openxmlformats.org/officeDocument/2006/relationships/hyperlink" Target="https://www.lcsc.com/product-detail/DC-DC-Converters_onsemi-FAN48610UC50X_C890712.html" TargetMode="External"/><Relationship Id="rId20" Type="http://schemas.openxmlformats.org/officeDocument/2006/relationships/hyperlink" Target="https://www.lcsc.com/product-detail/MOSFETs_onsemi-NTNS3193NZT5G_C179628.html" TargetMode="External"/><Relationship Id="rId29" Type="http://schemas.openxmlformats.org/officeDocument/2006/relationships/drawing" Target="../drawings/drawing4.xml"/><Relationship Id="rId1" Type="http://schemas.openxmlformats.org/officeDocument/2006/relationships/hyperlink" Target="https://www.lcsc.com/product-detail/Multilayer-Ceramic-Capacitors-MLCC-SMD-SMT_YAGEO-CC0201KRX5R6BB104_C190183.html" TargetMode="External"/><Relationship Id="rId6" Type="http://schemas.openxmlformats.org/officeDocument/2006/relationships/hyperlink" Target="https://www.lcsc.com/product-detail/Multilayer-Ceramic-Capacitors-MLCC-SMD-SMT_YAGEO-CC0201MRX5R7BB105_C5182464.html" TargetMode="External"/><Relationship Id="rId11" Type="http://schemas.openxmlformats.org/officeDocument/2006/relationships/hyperlink" Target="https://www.lcsc.com/product-detail/Chip-Resistor-Surface-Mount_UNI-ROYAL-Uniroyal-Elec-0201WMF2202TEE_C473469.html" TargetMode="External"/><Relationship Id="rId24" Type="http://schemas.openxmlformats.org/officeDocument/2006/relationships/hyperlink" Target="https://www.tag-connect.com/product/tc2030-idc-nl" TargetMode="External"/><Relationship Id="rId5" Type="http://schemas.openxmlformats.org/officeDocument/2006/relationships/hyperlink" Target="https://www.lcsc.com/product-detail/Tantalum-Capacitors_Kyocera-AVX-F980J107MMAAXE_C1955164.html" TargetMode="External"/><Relationship Id="rId15" Type="http://schemas.openxmlformats.org/officeDocument/2006/relationships/hyperlink" Target="https://www.lcsc.com/product-detail/Tactile-Switches_PANASONIC-EVQP7A01P_C79167.html" TargetMode="External"/><Relationship Id="rId23" Type="http://schemas.openxmlformats.org/officeDocument/2006/relationships/hyperlink" Target="https://www.lcsc.com/product-detail/Multilayer-Ceramic-Capacitors-MLCC-SMD-SMT_Samsung-Electro-Mechanics-CL10A226MP8NUNE_C86295.html" TargetMode="External"/><Relationship Id="rId28" Type="http://schemas.openxmlformats.org/officeDocument/2006/relationships/hyperlink" Target="https://vi.aliexpress.com/item/4001280445381.html?gatewayAdapt=glo2vnm" TargetMode="External"/><Relationship Id="rId10" Type="http://schemas.openxmlformats.org/officeDocument/2006/relationships/hyperlink" Target="https://www.lcsc.com/product-detail/Chip-Resistor-Surface-Mount_YAGEO-RC0201JR-0710KL_C138117.html" TargetMode="External"/><Relationship Id="rId19" Type="http://schemas.openxmlformats.org/officeDocument/2006/relationships/hyperlink" Target="https://www.lcsc.com/product-detail/MOSFETs_Texas-Instruments-CSD25501F3_C2872196.html" TargetMode="External"/><Relationship Id="rId4" Type="http://schemas.openxmlformats.org/officeDocument/2006/relationships/hyperlink" Target="https://www.lcsc.com/product-detail/Multilayer-Ceramic-Capacitors-MLCC-SMD-SMT_YAGEO-CC0201MRX5R6BB225_C2186869.html" TargetMode="External"/><Relationship Id="rId9" Type="http://schemas.openxmlformats.org/officeDocument/2006/relationships/hyperlink" Target="https://www.lcsc.com/product-detail/Bipolar-Transistors-BJT_TECH-PUBLIC-MMBT3904M_C2923360.html" TargetMode="External"/><Relationship Id="rId14" Type="http://schemas.openxmlformats.org/officeDocument/2006/relationships/hyperlink" Target="https://www.lcsc.com/product-detail/Chip-Resistor-Surface-Mount_YAGEO-RC0201FR-074K7L_C138135.html" TargetMode="External"/><Relationship Id="rId22" Type="http://schemas.openxmlformats.org/officeDocument/2006/relationships/hyperlink" Target="https://www.lcsc.com/product-detail/Hall-Sensor_Bosch-Sensortec-BMM150_C171681.html" TargetMode="External"/><Relationship Id="rId27" Type="http://schemas.openxmlformats.org/officeDocument/2006/relationships/hyperlink" Target="https://www.chipsmall.com/Products/EYSHSNZWZ_1105836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43"/>
  <sheetViews>
    <sheetView topLeftCell="F22" workbookViewId="0">
      <selection activeCell="O31" sqref="O31:P31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22.28515625" bestFit="1" customWidth="1"/>
    <col min="7" max="7" width="25.28515625" bestFit="1" customWidth="1"/>
    <col min="8" max="8" width="17.57031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8.28515625" bestFit="1" customWidth="1"/>
    <col min="14" max="14" width="15.5703125" bestFit="1" customWidth="1"/>
    <col min="15" max="15" width="11.7109375" bestFit="1" customWidth="1"/>
    <col min="16" max="16" width="18.7109375" bestFit="1" customWidth="1"/>
    <col min="17" max="17" width="19.28515625" bestFit="1" customWidth="1"/>
    <col min="18" max="18" width="8.5703125" bestFit="1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70"/>
      <c r="L1" s="70"/>
      <c r="M1" s="70"/>
      <c r="N1" s="70"/>
      <c r="O1" s="70"/>
      <c r="P1" s="70"/>
      <c r="Q1" s="70"/>
      <c r="R1" s="70"/>
      <c r="S1" s="71"/>
    </row>
    <row r="2" spans="1:19" ht="32.25" thickBot="1" x14ac:dyDescent="0.3">
      <c r="A2" s="1"/>
      <c r="B2" s="21"/>
      <c r="C2" s="31"/>
      <c r="D2" s="11" t="s">
        <v>0</v>
      </c>
      <c r="E2" s="11"/>
      <c r="F2" s="55" t="s">
        <v>183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6" t="s">
        <v>184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72"/>
    </row>
    <row r="4" spans="1:19" x14ac:dyDescent="0.25">
      <c r="A4" s="1"/>
      <c r="B4" s="22"/>
      <c r="C4" s="32"/>
      <c r="D4" s="13" t="s">
        <v>2</v>
      </c>
      <c r="E4" s="13"/>
      <c r="F4" s="57" t="s">
        <v>184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73"/>
    </row>
    <row r="5" spans="1:19" x14ac:dyDescent="0.25">
      <c r="A5" s="1"/>
      <c r="B5" s="22"/>
      <c r="C5" s="32"/>
      <c r="D5" s="13" t="s">
        <v>3</v>
      </c>
      <c r="E5" s="13"/>
      <c r="F5" s="58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73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73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73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73"/>
    </row>
    <row r="9" spans="1:19" ht="15.75" thickBot="1" x14ac:dyDescent="0.3">
      <c r="A9" s="1"/>
      <c r="B9" s="30" t="s">
        <v>4</v>
      </c>
      <c r="C9" s="30" t="s">
        <v>8</v>
      </c>
      <c r="D9" s="30" t="s">
        <v>19</v>
      </c>
      <c r="E9" s="30" t="s">
        <v>49</v>
      </c>
      <c r="F9" s="30" t="s">
        <v>78</v>
      </c>
      <c r="G9" s="30" t="s">
        <v>101</v>
      </c>
      <c r="H9" s="30" t="s">
        <v>124</v>
      </c>
      <c r="I9" s="30" t="s">
        <v>176</v>
      </c>
      <c r="J9" s="30" t="s">
        <v>140</v>
      </c>
      <c r="K9" s="30" t="s">
        <v>177</v>
      </c>
      <c r="L9" s="30" t="s">
        <v>175</v>
      </c>
      <c r="M9" s="30" t="s">
        <v>191</v>
      </c>
      <c r="N9" s="30" t="s">
        <v>192</v>
      </c>
      <c r="O9" s="30" t="s">
        <v>178</v>
      </c>
      <c r="P9" s="30" t="s">
        <v>197</v>
      </c>
      <c r="Q9" s="30" t="s">
        <v>198</v>
      </c>
      <c r="R9" s="30" t="s">
        <v>179</v>
      </c>
      <c r="S9" s="30" t="s">
        <v>180</v>
      </c>
    </row>
    <row r="10" spans="1:19" x14ac:dyDescent="0.25">
      <c r="A10" s="1"/>
      <c r="B10" s="46">
        <f>ROW(B10) - ROW($B$9)</f>
        <v>1</v>
      </c>
      <c r="C10" s="54" t="s">
        <v>9</v>
      </c>
      <c r="D10" s="37" t="s">
        <v>20</v>
      </c>
      <c r="E10" s="37" t="s">
        <v>50</v>
      </c>
      <c r="F10" s="37" t="s">
        <v>79</v>
      </c>
      <c r="G10" s="37" t="s">
        <v>102</v>
      </c>
      <c r="H10" s="37" t="s">
        <v>125</v>
      </c>
      <c r="I10" s="37" t="s">
        <v>185</v>
      </c>
      <c r="J10" s="37" t="s">
        <v>141</v>
      </c>
      <c r="K10" s="37" t="s">
        <v>163</v>
      </c>
      <c r="L10" s="37">
        <v>6</v>
      </c>
      <c r="M10" s="37">
        <f>L10*10</f>
        <v>60</v>
      </c>
      <c r="N10" s="37">
        <v>100</v>
      </c>
      <c r="O10" s="60" t="s">
        <v>187</v>
      </c>
      <c r="P10" s="38">
        <v>1.1000000000000001E-3</v>
      </c>
      <c r="Q10" s="38">
        <f>P10*N10</f>
        <v>0.11</v>
      </c>
      <c r="R10" s="37"/>
      <c r="S10" s="50"/>
    </row>
    <row r="11" spans="1:19" x14ac:dyDescent="0.25">
      <c r="A11" s="1"/>
      <c r="B11" s="47">
        <f t="shared" ref="B11:B37" si="0">ROW(B11) - ROW($B$9)</f>
        <v>2</v>
      </c>
      <c r="C11" s="54" t="s">
        <v>9</v>
      </c>
      <c r="D11" s="51" t="s">
        <v>21</v>
      </c>
      <c r="E11" s="51" t="s">
        <v>51</v>
      </c>
      <c r="F11" s="51" t="s">
        <v>80</v>
      </c>
      <c r="G11" s="51" t="s">
        <v>103</v>
      </c>
      <c r="H11" s="51" t="s">
        <v>126</v>
      </c>
      <c r="I11" s="51" t="s">
        <v>185</v>
      </c>
      <c r="J11" s="51" t="s">
        <v>142</v>
      </c>
      <c r="K11" s="51" t="s">
        <v>164</v>
      </c>
      <c r="L11" s="51">
        <v>1</v>
      </c>
      <c r="M11" s="37">
        <f t="shared" ref="M11:M41" si="1">L11*10</f>
        <v>10</v>
      </c>
      <c r="N11" s="51">
        <v>50</v>
      </c>
      <c r="O11" s="61" t="s">
        <v>187</v>
      </c>
      <c r="P11" s="52">
        <v>1.09E-2</v>
      </c>
      <c r="Q11" s="52">
        <f t="shared" ref="Q11" si="2">P11*N11</f>
        <v>0.54500000000000004</v>
      </c>
      <c r="R11" s="51"/>
      <c r="S11" s="51"/>
    </row>
    <row r="12" spans="1:19" x14ac:dyDescent="0.25">
      <c r="A12" s="1"/>
      <c r="B12" s="46">
        <f>ROW(B12) - ROW($B$9)</f>
        <v>3</v>
      </c>
      <c r="C12" s="53" t="s">
        <v>9</v>
      </c>
      <c r="D12" s="37" t="s">
        <v>22</v>
      </c>
      <c r="E12" s="37" t="s">
        <v>52</v>
      </c>
      <c r="F12" s="37" t="s">
        <v>81</v>
      </c>
      <c r="G12" s="66" t="s">
        <v>104</v>
      </c>
      <c r="H12" s="37" t="s">
        <v>125</v>
      </c>
      <c r="I12" s="37" t="s">
        <v>189</v>
      </c>
      <c r="J12" s="37" t="s">
        <v>190</v>
      </c>
      <c r="K12" s="37" t="s">
        <v>165</v>
      </c>
      <c r="L12" s="37">
        <v>1</v>
      </c>
      <c r="M12" s="37">
        <f t="shared" si="1"/>
        <v>10</v>
      </c>
      <c r="N12" s="37">
        <v>50</v>
      </c>
      <c r="O12" s="60" t="s">
        <v>187</v>
      </c>
      <c r="P12" s="38">
        <v>1.35E-2</v>
      </c>
      <c r="Q12" s="38">
        <f>P12*N12</f>
        <v>0.67500000000000004</v>
      </c>
      <c r="R12" s="37"/>
      <c r="S12" s="59"/>
    </row>
    <row r="13" spans="1:19" x14ac:dyDescent="0.25">
      <c r="A13" s="1"/>
      <c r="B13" s="47">
        <f t="shared" si="0"/>
        <v>4</v>
      </c>
      <c r="C13" s="54" t="s">
        <v>9</v>
      </c>
      <c r="D13" s="51" t="s">
        <v>23</v>
      </c>
      <c r="E13" s="51" t="s">
        <v>53</v>
      </c>
      <c r="F13" s="51" t="s">
        <v>79</v>
      </c>
      <c r="G13" s="51" t="s">
        <v>105</v>
      </c>
      <c r="H13" s="51" t="s">
        <v>125</v>
      </c>
      <c r="I13" s="51" t="s">
        <v>185</v>
      </c>
      <c r="J13" s="51" t="s">
        <v>143</v>
      </c>
      <c r="K13" s="51" t="s">
        <v>166</v>
      </c>
      <c r="L13" s="51">
        <v>1</v>
      </c>
      <c r="M13" s="37">
        <f t="shared" si="1"/>
        <v>10</v>
      </c>
      <c r="N13" s="51">
        <v>100</v>
      </c>
      <c r="O13" s="61" t="s">
        <v>187</v>
      </c>
      <c r="P13" s="52">
        <v>5.3E-3</v>
      </c>
      <c r="Q13" s="52">
        <f t="shared" ref="Q13" si="3">P13*N13</f>
        <v>0.53</v>
      </c>
      <c r="R13" s="51"/>
      <c r="S13" s="59"/>
    </row>
    <row r="14" spans="1:19" x14ac:dyDescent="0.25">
      <c r="A14" s="1"/>
      <c r="B14" s="46">
        <f>ROW(B14) - ROW($B$9)</f>
        <v>5</v>
      </c>
      <c r="C14" s="53" t="s">
        <v>9</v>
      </c>
      <c r="D14" s="37" t="s">
        <v>24</v>
      </c>
      <c r="E14" s="37" t="s">
        <v>54</v>
      </c>
      <c r="F14" s="37" t="s">
        <v>79</v>
      </c>
      <c r="G14" s="37" t="s">
        <v>106</v>
      </c>
      <c r="H14" s="37" t="s">
        <v>125</v>
      </c>
      <c r="I14" s="37" t="s">
        <v>185</v>
      </c>
      <c r="J14" s="37" t="s">
        <v>144</v>
      </c>
      <c r="K14" s="37" t="s">
        <v>167</v>
      </c>
      <c r="L14" s="37">
        <v>1</v>
      </c>
      <c r="M14" s="37">
        <f t="shared" si="1"/>
        <v>10</v>
      </c>
      <c r="N14" s="37">
        <v>20</v>
      </c>
      <c r="O14" s="60" t="s">
        <v>187</v>
      </c>
      <c r="P14" s="38">
        <v>3.44E-2</v>
      </c>
      <c r="Q14" s="38">
        <f>P14*N14</f>
        <v>0.68799999999999994</v>
      </c>
      <c r="R14" s="37"/>
      <c r="S14" s="59"/>
    </row>
    <row r="15" spans="1:19" x14ac:dyDescent="0.25">
      <c r="A15" s="1"/>
      <c r="B15" s="47">
        <f t="shared" si="0"/>
        <v>6</v>
      </c>
      <c r="C15" s="54" t="s">
        <v>9</v>
      </c>
      <c r="D15" s="51" t="s">
        <v>25</v>
      </c>
      <c r="E15" s="51" t="s">
        <v>55</v>
      </c>
      <c r="F15" s="51" t="s">
        <v>188</v>
      </c>
      <c r="G15" s="51" t="s">
        <v>82</v>
      </c>
      <c r="H15" s="51" t="s">
        <v>127</v>
      </c>
      <c r="I15" s="51" t="s">
        <v>185</v>
      </c>
      <c r="J15" s="51" t="s">
        <v>145</v>
      </c>
      <c r="K15" s="51" t="s">
        <v>168</v>
      </c>
      <c r="L15" s="51">
        <v>1</v>
      </c>
      <c r="M15" s="37">
        <f t="shared" si="1"/>
        <v>10</v>
      </c>
      <c r="N15" s="51">
        <v>11</v>
      </c>
      <c r="O15" s="61" t="s">
        <v>187</v>
      </c>
      <c r="P15" s="52">
        <v>0.50600000000000001</v>
      </c>
      <c r="Q15" s="52">
        <f t="shared" ref="Q15" si="4">P15*N15</f>
        <v>5.5659999999999998</v>
      </c>
      <c r="R15" s="51"/>
      <c r="S15" s="59"/>
    </row>
    <row r="16" spans="1:19" x14ac:dyDescent="0.25">
      <c r="A16" s="1"/>
      <c r="B16" s="46">
        <f>ROW(B16) - ROW($B$9)</f>
        <v>7</v>
      </c>
      <c r="C16" s="53" t="s">
        <v>9</v>
      </c>
      <c r="D16" s="37" t="s">
        <v>26</v>
      </c>
      <c r="E16" s="37" t="s">
        <v>56</v>
      </c>
      <c r="F16" s="37" t="s">
        <v>79</v>
      </c>
      <c r="G16" s="37" t="s">
        <v>107</v>
      </c>
      <c r="H16" s="37" t="s">
        <v>125</v>
      </c>
      <c r="I16" s="37" t="s">
        <v>185</v>
      </c>
      <c r="J16" s="37" t="s">
        <v>146</v>
      </c>
      <c r="K16" s="37" t="s">
        <v>166</v>
      </c>
      <c r="L16" s="37">
        <v>1</v>
      </c>
      <c r="M16" s="37">
        <f t="shared" si="1"/>
        <v>10</v>
      </c>
      <c r="N16" s="37">
        <v>20</v>
      </c>
      <c r="O16" s="60" t="s">
        <v>187</v>
      </c>
      <c r="P16" s="38">
        <v>6.3100000000000003E-2</v>
      </c>
      <c r="Q16" s="38">
        <f>P16*N16</f>
        <v>1.262</v>
      </c>
      <c r="R16" s="37"/>
      <c r="S16" s="59"/>
    </row>
    <row r="17" spans="1:19" x14ac:dyDescent="0.25">
      <c r="A17" s="1"/>
      <c r="B17" s="47">
        <f t="shared" si="0"/>
        <v>8</v>
      </c>
      <c r="C17" s="62" t="s">
        <v>10</v>
      </c>
      <c r="D17" s="63" t="s">
        <v>27</v>
      </c>
      <c r="E17" s="63" t="s">
        <v>57</v>
      </c>
      <c r="F17" s="63" t="s">
        <v>188</v>
      </c>
      <c r="G17" s="63" t="s">
        <v>83</v>
      </c>
      <c r="H17" s="63" t="s">
        <v>185</v>
      </c>
      <c r="I17" s="63" t="s">
        <v>185</v>
      </c>
      <c r="J17" s="63" t="s">
        <v>185</v>
      </c>
      <c r="K17" s="63"/>
      <c r="L17" s="63">
        <v>4</v>
      </c>
      <c r="M17" s="37">
        <f t="shared" si="1"/>
        <v>40</v>
      </c>
      <c r="N17" s="63" t="s">
        <v>185</v>
      </c>
      <c r="O17" s="63" t="s">
        <v>185</v>
      </c>
      <c r="P17" s="64" t="s">
        <v>185</v>
      </c>
      <c r="Q17" s="64" t="s">
        <v>185</v>
      </c>
      <c r="R17" s="63"/>
      <c r="S17" s="65"/>
    </row>
    <row r="18" spans="1:19" s="96" customFormat="1" ht="24" x14ac:dyDescent="0.25">
      <c r="A18" s="95"/>
      <c r="B18" s="46">
        <f>ROW(B18) - ROW($B$9)</f>
        <v>9</v>
      </c>
      <c r="C18" s="53" t="s">
        <v>11</v>
      </c>
      <c r="D18" s="37" t="s">
        <v>28</v>
      </c>
      <c r="E18" s="37" t="s">
        <v>58</v>
      </c>
      <c r="F18" s="37" t="s">
        <v>84</v>
      </c>
      <c r="G18" s="37" t="s">
        <v>84</v>
      </c>
      <c r="H18" s="37" t="s">
        <v>128</v>
      </c>
      <c r="I18" s="37" t="s">
        <v>185</v>
      </c>
      <c r="J18" s="37" t="s">
        <v>185</v>
      </c>
      <c r="K18" s="37" t="s">
        <v>185</v>
      </c>
      <c r="L18" s="37">
        <v>1</v>
      </c>
      <c r="M18" s="37">
        <f t="shared" si="1"/>
        <v>10</v>
      </c>
      <c r="N18" s="37">
        <v>12</v>
      </c>
      <c r="O18" s="60" t="s">
        <v>208</v>
      </c>
      <c r="P18" s="38">
        <v>0.68</v>
      </c>
      <c r="Q18" s="38">
        <f>P18*N18</f>
        <v>8.16</v>
      </c>
      <c r="R18" s="37"/>
      <c r="S18" s="59"/>
    </row>
    <row r="19" spans="1:19" x14ac:dyDescent="0.25">
      <c r="A19" s="1"/>
      <c r="B19" s="47">
        <f t="shared" si="0"/>
        <v>10</v>
      </c>
      <c r="C19" s="62" t="s">
        <v>12</v>
      </c>
      <c r="D19" s="63" t="s">
        <v>29</v>
      </c>
      <c r="E19" s="63" t="s">
        <v>59</v>
      </c>
      <c r="F19" s="63" t="s">
        <v>85</v>
      </c>
      <c r="G19" s="63" t="s">
        <v>108</v>
      </c>
      <c r="H19" s="63" t="s">
        <v>185</v>
      </c>
      <c r="I19" s="63" t="s">
        <v>185</v>
      </c>
      <c r="J19" s="63" t="s">
        <v>185</v>
      </c>
      <c r="K19" s="63" t="s">
        <v>185</v>
      </c>
      <c r="L19" s="63">
        <v>1</v>
      </c>
      <c r="M19" s="37">
        <f t="shared" si="1"/>
        <v>10</v>
      </c>
      <c r="N19" s="63" t="s">
        <v>185</v>
      </c>
      <c r="O19" s="63" t="s">
        <v>185</v>
      </c>
      <c r="P19" s="64" t="s">
        <v>185</v>
      </c>
      <c r="Q19" s="64" t="s">
        <v>185</v>
      </c>
      <c r="R19" s="51"/>
      <c r="S19" s="59"/>
    </row>
    <row r="20" spans="1:19" x14ac:dyDescent="0.25">
      <c r="A20" s="1"/>
      <c r="B20" s="46">
        <f>ROW(B20) - ROW($B$9)</f>
        <v>11</v>
      </c>
      <c r="C20" s="67" t="s">
        <v>186</v>
      </c>
      <c r="D20" s="66" t="s">
        <v>30</v>
      </c>
      <c r="E20" s="66" t="s">
        <v>185</v>
      </c>
      <c r="F20" s="66" t="s">
        <v>86</v>
      </c>
      <c r="G20" s="66" t="s">
        <v>185</v>
      </c>
      <c r="H20" s="66" t="s">
        <v>185</v>
      </c>
      <c r="I20" s="66" t="s">
        <v>185</v>
      </c>
      <c r="J20" s="66" t="s">
        <v>185</v>
      </c>
      <c r="K20" s="66" t="s">
        <v>185</v>
      </c>
      <c r="L20" s="66">
        <v>1</v>
      </c>
      <c r="M20" s="66">
        <f t="shared" si="1"/>
        <v>10</v>
      </c>
      <c r="N20" s="66" t="s">
        <v>185</v>
      </c>
      <c r="O20" s="66" t="s">
        <v>185</v>
      </c>
      <c r="P20" s="68" t="s">
        <v>185</v>
      </c>
      <c r="Q20" s="68" t="s">
        <v>185</v>
      </c>
      <c r="R20" s="66"/>
      <c r="S20" s="65"/>
    </row>
    <row r="21" spans="1:19" x14ac:dyDescent="0.25">
      <c r="A21" s="1"/>
      <c r="B21" s="47">
        <f t="shared" si="0"/>
        <v>12</v>
      </c>
      <c r="C21" s="54" t="s">
        <v>13</v>
      </c>
      <c r="D21" s="51" t="s">
        <v>31</v>
      </c>
      <c r="E21" s="51" t="s">
        <v>60</v>
      </c>
      <c r="F21" s="51" t="s">
        <v>87</v>
      </c>
      <c r="G21" s="51" t="s">
        <v>109</v>
      </c>
      <c r="H21" s="51" t="s">
        <v>129</v>
      </c>
      <c r="I21" s="51" t="s">
        <v>185</v>
      </c>
      <c r="J21" s="51" t="s">
        <v>147</v>
      </c>
      <c r="K21" s="51" t="s">
        <v>169</v>
      </c>
      <c r="L21" s="51">
        <v>1</v>
      </c>
      <c r="M21" s="37">
        <f t="shared" si="1"/>
        <v>10</v>
      </c>
      <c r="N21" s="51">
        <v>15</v>
      </c>
      <c r="O21" s="61" t="s">
        <v>187</v>
      </c>
      <c r="P21" s="52">
        <v>8.4000000000000005E-2</v>
      </c>
      <c r="Q21" s="52">
        <f t="shared" ref="Q21" si="5">P21*N21</f>
        <v>1.26</v>
      </c>
      <c r="R21" s="51"/>
      <c r="S21" s="59"/>
    </row>
    <row r="22" spans="1:19" ht="36" x14ac:dyDescent="0.25">
      <c r="A22" s="1"/>
      <c r="B22" s="46">
        <f>ROW(B22) - ROW($B$9)</f>
        <v>13</v>
      </c>
      <c r="C22" s="53" t="s">
        <v>14</v>
      </c>
      <c r="D22" s="37" t="s">
        <v>32</v>
      </c>
      <c r="E22" s="37" t="s">
        <v>61</v>
      </c>
      <c r="F22" s="37" t="s">
        <v>188</v>
      </c>
      <c r="G22" s="37" t="s">
        <v>88</v>
      </c>
      <c r="H22" s="37" t="s">
        <v>130</v>
      </c>
      <c r="I22" s="37" t="s">
        <v>185</v>
      </c>
      <c r="J22" s="37" t="s">
        <v>148</v>
      </c>
      <c r="K22" s="37" t="s">
        <v>185</v>
      </c>
      <c r="L22" s="37">
        <v>1</v>
      </c>
      <c r="M22" s="37">
        <f t="shared" si="1"/>
        <v>10</v>
      </c>
      <c r="N22" s="37">
        <v>20</v>
      </c>
      <c r="O22" s="60" t="s">
        <v>187</v>
      </c>
      <c r="P22" s="38">
        <v>5.6099999999999997E-2</v>
      </c>
      <c r="Q22" s="38">
        <f>P22*N22</f>
        <v>1.1219999999999999</v>
      </c>
      <c r="R22" s="37"/>
      <c r="S22" s="59"/>
    </row>
    <row r="23" spans="1:19" ht="48" x14ac:dyDescent="0.25">
      <c r="A23" s="1"/>
      <c r="B23" s="47">
        <f t="shared" si="0"/>
        <v>14</v>
      </c>
      <c r="C23" s="54" t="s">
        <v>15</v>
      </c>
      <c r="D23" s="51" t="s">
        <v>33</v>
      </c>
      <c r="E23" s="51" t="s">
        <v>62</v>
      </c>
      <c r="F23" s="51" t="s">
        <v>89</v>
      </c>
      <c r="G23" s="51" t="s">
        <v>110</v>
      </c>
      <c r="H23" s="51" t="s">
        <v>131</v>
      </c>
      <c r="I23" s="51" t="s">
        <v>185</v>
      </c>
      <c r="J23" s="51" t="s">
        <v>149</v>
      </c>
      <c r="K23" s="51" t="s">
        <v>185</v>
      </c>
      <c r="L23" s="51">
        <v>1</v>
      </c>
      <c r="M23" s="37">
        <f t="shared" si="1"/>
        <v>10</v>
      </c>
      <c r="N23" s="51">
        <v>20</v>
      </c>
      <c r="O23" s="61" t="s">
        <v>187</v>
      </c>
      <c r="P23" s="52">
        <v>3.3500000000000002E-2</v>
      </c>
      <c r="Q23" s="52">
        <f t="shared" ref="Q23" si="6">P23*N23</f>
        <v>0.67</v>
      </c>
      <c r="R23" s="51"/>
      <c r="S23" s="59"/>
    </row>
    <row r="24" spans="1:19" x14ac:dyDescent="0.25">
      <c r="A24" s="1"/>
      <c r="B24" s="46">
        <f>ROW(B24) - ROW($B$9)</f>
        <v>15</v>
      </c>
      <c r="C24" s="54" t="s">
        <v>16</v>
      </c>
      <c r="D24" s="37" t="s">
        <v>34</v>
      </c>
      <c r="E24" s="37" t="s">
        <v>63</v>
      </c>
      <c r="F24" s="37" t="s">
        <v>90</v>
      </c>
      <c r="G24" s="37" t="s">
        <v>111</v>
      </c>
      <c r="H24" s="37" t="s">
        <v>125</v>
      </c>
      <c r="I24" s="37" t="s">
        <v>185</v>
      </c>
      <c r="J24" s="37" t="s">
        <v>150</v>
      </c>
      <c r="K24" s="37" t="s">
        <v>170</v>
      </c>
      <c r="L24" s="37">
        <v>5</v>
      </c>
      <c r="M24" s="37">
        <f t="shared" si="1"/>
        <v>50</v>
      </c>
      <c r="N24" s="37">
        <v>100</v>
      </c>
      <c r="O24" s="60" t="s">
        <v>187</v>
      </c>
      <c r="P24" s="38">
        <v>8.0000000000000004E-4</v>
      </c>
      <c r="Q24" s="38">
        <f>P24*N24</f>
        <v>0.08</v>
      </c>
      <c r="R24" s="37"/>
      <c r="S24" s="59"/>
    </row>
    <row r="25" spans="1:19" ht="36" x14ac:dyDescent="0.25">
      <c r="A25" s="1"/>
      <c r="B25" s="47">
        <f t="shared" si="0"/>
        <v>16</v>
      </c>
      <c r="C25" s="54" t="s">
        <v>16</v>
      </c>
      <c r="D25" s="51" t="s">
        <v>35</v>
      </c>
      <c r="E25" s="51" t="s">
        <v>64</v>
      </c>
      <c r="F25" s="51" t="s">
        <v>90</v>
      </c>
      <c r="G25" s="51" t="s">
        <v>112</v>
      </c>
      <c r="H25" s="51" t="s">
        <v>132</v>
      </c>
      <c r="I25" s="51" t="s">
        <v>185</v>
      </c>
      <c r="J25" s="51" t="s">
        <v>151</v>
      </c>
      <c r="K25" s="51" t="s">
        <v>171</v>
      </c>
      <c r="L25" s="51">
        <v>1</v>
      </c>
      <c r="M25" s="37">
        <f t="shared" si="1"/>
        <v>10</v>
      </c>
      <c r="N25" s="51">
        <v>100</v>
      </c>
      <c r="O25" s="61" t="s">
        <v>187</v>
      </c>
      <c r="P25" s="52">
        <v>8.0000000000000004E-4</v>
      </c>
      <c r="Q25" s="52">
        <f t="shared" ref="Q25" si="7">P25*N25</f>
        <v>0.08</v>
      </c>
      <c r="R25" s="51"/>
      <c r="S25" s="59"/>
    </row>
    <row r="26" spans="1:19" ht="36" x14ac:dyDescent="0.25">
      <c r="A26" s="1"/>
      <c r="B26" s="46">
        <f>ROW(B26) - ROW($B$9)</f>
        <v>17</v>
      </c>
      <c r="C26" s="53" t="s">
        <v>16</v>
      </c>
      <c r="D26" s="37" t="s">
        <v>36</v>
      </c>
      <c r="E26" s="37" t="s">
        <v>65</v>
      </c>
      <c r="F26" s="37" t="s">
        <v>90</v>
      </c>
      <c r="G26" s="37" t="s">
        <v>113</v>
      </c>
      <c r="H26" s="37" t="s">
        <v>132</v>
      </c>
      <c r="I26" s="37" t="s">
        <v>185</v>
      </c>
      <c r="J26" s="37" t="s">
        <v>152</v>
      </c>
      <c r="K26" s="37" t="s">
        <v>172</v>
      </c>
      <c r="L26" s="37">
        <v>1</v>
      </c>
      <c r="M26" s="37">
        <f t="shared" si="1"/>
        <v>10</v>
      </c>
      <c r="N26" s="37">
        <v>100</v>
      </c>
      <c r="O26" s="60" t="s">
        <v>187</v>
      </c>
      <c r="P26" s="38">
        <v>6.9999999999999999E-4</v>
      </c>
      <c r="Q26" s="38">
        <f>P26*N26</f>
        <v>6.9999999999999993E-2</v>
      </c>
      <c r="R26" s="37"/>
      <c r="S26" s="59"/>
    </row>
    <row r="27" spans="1:19" ht="36" x14ac:dyDescent="0.25">
      <c r="A27" s="1"/>
      <c r="B27" s="47">
        <f t="shared" si="0"/>
        <v>18</v>
      </c>
      <c r="C27" s="54" t="s">
        <v>16</v>
      </c>
      <c r="D27" s="51" t="s">
        <v>37</v>
      </c>
      <c r="E27" s="51" t="s">
        <v>66</v>
      </c>
      <c r="F27" s="51" t="s">
        <v>90</v>
      </c>
      <c r="G27" s="51" t="s">
        <v>114</v>
      </c>
      <c r="H27" s="51" t="s">
        <v>132</v>
      </c>
      <c r="I27" s="51" t="s">
        <v>185</v>
      </c>
      <c r="J27" s="51" t="s">
        <v>153</v>
      </c>
      <c r="K27" s="51" t="s">
        <v>173</v>
      </c>
      <c r="L27" s="51">
        <v>2</v>
      </c>
      <c r="M27" s="37">
        <f t="shared" si="1"/>
        <v>20</v>
      </c>
      <c r="N27" s="51">
        <v>50</v>
      </c>
      <c r="O27" s="61" t="s">
        <v>187</v>
      </c>
      <c r="P27" s="52">
        <v>4.5999999999999999E-3</v>
      </c>
      <c r="Q27" s="52">
        <f t="shared" ref="Q27" si="8">P27*N27</f>
        <v>0.22999999999999998</v>
      </c>
      <c r="R27" s="51"/>
      <c r="S27" s="59"/>
    </row>
    <row r="28" spans="1:19" x14ac:dyDescent="0.25">
      <c r="A28" s="1"/>
      <c r="B28" s="46">
        <f>ROW(B28) - ROW($B$9)</f>
        <v>19</v>
      </c>
      <c r="C28" s="53" t="s">
        <v>16</v>
      </c>
      <c r="D28" s="37" t="s">
        <v>38</v>
      </c>
      <c r="E28" s="37" t="s">
        <v>67</v>
      </c>
      <c r="F28" s="37" t="s">
        <v>90</v>
      </c>
      <c r="G28" s="37" t="s">
        <v>115</v>
      </c>
      <c r="H28" s="37" t="s">
        <v>125</v>
      </c>
      <c r="I28" s="37" t="s">
        <v>185</v>
      </c>
      <c r="J28" s="37" t="s">
        <v>154</v>
      </c>
      <c r="K28" s="37" t="s">
        <v>174</v>
      </c>
      <c r="L28" s="37">
        <v>4</v>
      </c>
      <c r="M28" s="37">
        <f t="shared" si="1"/>
        <v>40</v>
      </c>
      <c r="N28" s="37">
        <v>100</v>
      </c>
      <c r="O28" s="60" t="s">
        <v>187</v>
      </c>
      <c r="P28" s="38">
        <v>8.9999999999999998E-4</v>
      </c>
      <c r="Q28" s="38">
        <f>P28*N28</f>
        <v>0.09</v>
      </c>
      <c r="R28" s="37"/>
      <c r="S28" s="59"/>
    </row>
    <row r="29" spans="1:19" x14ac:dyDescent="0.25">
      <c r="A29" s="1"/>
      <c r="B29" s="47">
        <f t="shared" si="0"/>
        <v>20</v>
      </c>
      <c r="C29" s="54" t="s">
        <v>17</v>
      </c>
      <c r="D29" s="51" t="s">
        <v>39</v>
      </c>
      <c r="E29" s="51" t="s">
        <v>68</v>
      </c>
      <c r="F29" s="51" t="s">
        <v>91</v>
      </c>
      <c r="G29" s="51" t="s">
        <v>116</v>
      </c>
      <c r="H29" s="51" t="s">
        <v>133</v>
      </c>
      <c r="I29" s="51" t="s">
        <v>185</v>
      </c>
      <c r="J29" s="51" t="s">
        <v>155</v>
      </c>
      <c r="K29" s="51" t="s">
        <v>185</v>
      </c>
      <c r="L29" s="51">
        <v>1</v>
      </c>
      <c r="M29" s="37">
        <f t="shared" si="1"/>
        <v>10</v>
      </c>
      <c r="N29" s="51">
        <v>15</v>
      </c>
      <c r="O29" s="61" t="s">
        <v>187</v>
      </c>
      <c r="P29" s="52">
        <v>0.2923</v>
      </c>
      <c r="Q29" s="52">
        <f t="shared" ref="Q29" si="9">P29*N29</f>
        <v>4.3845000000000001</v>
      </c>
      <c r="R29" s="51"/>
      <c r="S29" s="59"/>
    </row>
    <row r="30" spans="1:19" ht="24" x14ac:dyDescent="0.25">
      <c r="A30" s="1"/>
      <c r="B30" s="46">
        <f>ROW(B30) - ROW($B$9)</f>
        <v>21</v>
      </c>
      <c r="C30" s="53" t="s">
        <v>18</v>
      </c>
      <c r="D30" s="37" t="s">
        <v>40</v>
      </c>
      <c r="E30" s="37" t="s">
        <v>69</v>
      </c>
      <c r="F30" s="37" t="s">
        <v>92</v>
      </c>
      <c r="G30" s="37" t="s">
        <v>117</v>
      </c>
      <c r="H30" s="37" t="s">
        <v>134</v>
      </c>
      <c r="I30" s="37" t="s">
        <v>185</v>
      </c>
      <c r="J30" s="37" t="s">
        <v>156</v>
      </c>
      <c r="K30" s="37" t="s">
        <v>185</v>
      </c>
      <c r="L30" s="37">
        <v>1</v>
      </c>
      <c r="M30" s="37">
        <f t="shared" si="1"/>
        <v>10</v>
      </c>
      <c r="N30" s="37">
        <v>11</v>
      </c>
      <c r="O30" s="60" t="s">
        <v>187</v>
      </c>
      <c r="P30" s="38">
        <v>0.87819999999999998</v>
      </c>
      <c r="Q30" s="38">
        <f>P30*N30</f>
        <v>9.6601999999999997</v>
      </c>
      <c r="R30" s="37"/>
      <c r="S30" s="59"/>
    </row>
    <row r="31" spans="1:19" x14ac:dyDescent="0.25">
      <c r="A31" s="1"/>
      <c r="B31" s="47">
        <f t="shared" si="0"/>
        <v>22</v>
      </c>
      <c r="C31" s="54" t="s">
        <v>18</v>
      </c>
      <c r="D31" s="51" t="s">
        <v>41</v>
      </c>
      <c r="E31" s="51" t="s">
        <v>70</v>
      </c>
      <c r="F31" s="51" t="s">
        <v>93</v>
      </c>
      <c r="G31" s="51" t="s">
        <v>118</v>
      </c>
      <c r="H31" s="51" t="s">
        <v>135</v>
      </c>
      <c r="I31" s="51" t="s">
        <v>185</v>
      </c>
      <c r="J31" s="51" t="s">
        <v>157</v>
      </c>
      <c r="K31" s="51" t="s">
        <v>185</v>
      </c>
      <c r="L31" s="51">
        <v>1</v>
      </c>
      <c r="M31" s="37">
        <f t="shared" si="1"/>
        <v>10</v>
      </c>
      <c r="N31" s="51">
        <v>11</v>
      </c>
      <c r="O31" s="60" t="s">
        <v>210</v>
      </c>
      <c r="P31" s="52">
        <v>2.7</v>
      </c>
      <c r="Q31" s="52">
        <f t="shared" ref="Q31" si="10">P31*N31</f>
        <v>29.700000000000003</v>
      </c>
      <c r="R31" s="51"/>
      <c r="S31" s="59"/>
    </row>
    <row r="32" spans="1:19" x14ac:dyDescent="0.25">
      <c r="A32" s="1"/>
      <c r="B32" s="46">
        <f>ROW(B32) - ROW($B$9)</f>
        <v>23</v>
      </c>
      <c r="C32" s="53" t="s">
        <v>18</v>
      </c>
      <c r="D32" s="37" t="s">
        <v>42</v>
      </c>
      <c r="E32" s="37" t="s">
        <v>71</v>
      </c>
      <c r="F32" s="37" t="s">
        <v>94</v>
      </c>
      <c r="G32" s="37" t="s">
        <v>119</v>
      </c>
      <c r="H32" s="37" t="s">
        <v>136</v>
      </c>
      <c r="I32" s="37" t="s">
        <v>185</v>
      </c>
      <c r="J32" s="37" t="s">
        <v>158</v>
      </c>
      <c r="K32" s="37" t="s">
        <v>185</v>
      </c>
      <c r="L32" s="37">
        <v>1</v>
      </c>
      <c r="M32" s="37">
        <f t="shared" si="1"/>
        <v>10</v>
      </c>
      <c r="N32" s="37">
        <v>15</v>
      </c>
      <c r="O32" s="60" t="s">
        <v>187</v>
      </c>
      <c r="P32" s="38">
        <v>7.9299999999999995E-2</v>
      </c>
      <c r="Q32" s="38">
        <f>P32*N32</f>
        <v>1.1895</v>
      </c>
      <c r="R32" s="37"/>
      <c r="S32" s="59"/>
    </row>
    <row r="33" spans="1:19" x14ac:dyDescent="0.25">
      <c r="A33" s="1"/>
      <c r="B33" s="47">
        <f t="shared" si="0"/>
        <v>24</v>
      </c>
      <c r="C33" s="54" t="s">
        <v>18</v>
      </c>
      <c r="D33" s="51" t="s">
        <v>43</v>
      </c>
      <c r="E33" s="51" t="s">
        <v>72</v>
      </c>
      <c r="F33" s="51" t="s">
        <v>95</v>
      </c>
      <c r="G33" s="51" t="s">
        <v>181</v>
      </c>
      <c r="H33" s="51" t="s">
        <v>137</v>
      </c>
      <c r="I33" s="51" t="s">
        <v>185</v>
      </c>
      <c r="J33" s="51" t="s">
        <v>182</v>
      </c>
      <c r="K33" s="51" t="s">
        <v>185</v>
      </c>
      <c r="L33" s="51">
        <v>1</v>
      </c>
      <c r="M33" s="37">
        <f t="shared" si="1"/>
        <v>10</v>
      </c>
      <c r="N33" s="51">
        <v>11</v>
      </c>
      <c r="O33" s="61" t="s">
        <v>187</v>
      </c>
      <c r="P33" s="52">
        <v>0.6794</v>
      </c>
      <c r="Q33" s="52">
        <f t="shared" ref="Q33" si="11">P33*N33</f>
        <v>7.4733999999999998</v>
      </c>
      <c r="R33" s="51"/>
      <c r="S33" s="59"/>
    </row>
    <row r="34" spans="1:19" x14ac:dyDescent="0.25">
      <c r="A34" s="1"/>
      <c r="B34" s="46">
        <f>ROW(B34) - ROW($B$9)</f>
        <v>25</v>
      </c>
      <c r="C34" s="53" t="s">
        <v>18</v>
      </c>
      <c r="D34" s="37" t="s">
        <v>44</v>
      </c>
      <c r="E34" s="37" t="s">
        <v>73</v>
      </c>
      <c r="F34" s="37" t="s">
        <v>96</v>
      </c>
      <c r="G34" s="37" t="s">
        <v>120</v>
      </c>
      <c r="H34" s="37" t="s">
        <v>136</v>
      </c>
      <c r="I34" s="37" t="s">
        <v>185</v>
      </c>
      <c r="J34" s="37" t="s">
        <v>159</v>
      </c>
      <c r="K34" s="37" t="s">
        <v>185</v>
      </c>
      <c r="L34" s="37">
        <v>1</v>
      </c>
      <c r="M34" s="37">
        <f t="shared" si="1"/>
        <v>10</v>
      </c>
      <c r="N34" s="37">
        <v>15</v>
      </c>
      <c r="O34" s="60" t="s">
        <v>187</v>
      </c>
      <c r="P34" s="38">
        <v>0.1444</v>
      </c>
      <c r="Q34" s="38">
        <f>P34*N34</f>
        <v>2.1659999999999999</v>
      </c>
      <c r="R34" s="37"/>
      <c r="S34" s="59"/>
    </row>
    <row r="35" spans="1:19" x14ac:dyDescent="0.25">
      <c r="A35" s="1"/>
      <c r="B35" s="47">
        <f t="shared" si="0"/>
        <v>26</v>
      </c>
      <c r="C35" s="54" t="s">
        <v>18</v>
      </c>
      <c r="D35" s="51" t="s">
        <v>45</v>
      </c>
      <c r="E35" s="51" t="s">
        <v>74</v>
      </c>
      <c r="F35" s="51" t="s">
        <v>97</v>
      </c>
      <c r="G35" s="51" t="s">
        <v>97</v>
      </c>
      <c r="H35" s="51" t="s">
        <v>138</v>
      </c>
      <c r="I35" s="51" t="s">
        <v>185</v>
      </c>
      <c r="J35" s="51" t="s">
        <v>185</v>
      </c>
      <c r="K35" s="51" t="s">
        <v>185</v>
      </c>
      <c r="L35" s="51">
        <v>1</v>
      </c>
      <c r="M35" s="37">
        <f t="shared" si="1"/>
        <v>10</v>
      </c>
      <c r="N35" s="51">
        <v>11</v>
      </c>
      <c r="O35" s="61" t="s">
        <v>210</v>
      </c>
      <c r="P35" s="52">
        <v>18.221</v>
      </c>
      <c r="Q35" s="52">
        <f t="shared" ref="Q35" si="12">P35*N35</f>
        <v>200.43100000000001</v>
      </c>
      <c r="R35" s="51"/>
      <c r="S35" s="59"/>
    </row>
    <row r="36" spans="1:19" x14ac:dyDescent="0.25">
      <c r="A36" s="1"/>
      <c r="B36" s="46">
        <f>ROW(B36) - ROW($B$9)</f>
        <v>27</v>
      </c>
      <c r="C36" s="53" t="s">
        <v>18</v>
      </c>
      <c r="D36" s="37" t="s">
        <v>46</v>
      </c>
      <c r="E36" s="37" t="s">
        <v>75</v>
      </c>
      <c r="F36" s="37" t="s">
        <v>98</v>
      </c>
      <c r="G36" s="37" t="s">
        <v>121</v>
      </c>
      <c r="H36" s="37" t="s">
        <v>137</v>
      </c>
      <c r="I36" s="37" t="s">
        <v>185</v>
      </c>
      <c r="J36" s="37" t="s">
        <v>160</v>
      </c>
      <c r="K36" s="37" t="s">
        <v>185</v>
      </c>
      <c r="L36" s="37">
        <v>1</v>
      </c>
      <c r="M36" s="37">
        <f t="shared" si="1"/>
        <v>10</v>
      </c>
      <c r="N36" s="37">
        <v>11</v>
      </c>
      <c r="O36" s="60" t="s">
        <v>187</v>
      </c>
      <c r="P36" s="38">
        <v>0.33260000000000001</v>
      </c>
      <c r="Q36" s="38">
        <f>P36*N36</f>
        <v>3.6585999999999999</v>
      </c>
      <c r="R36" s="37"/>
      <c r="S36" s="59"/>
    </row>
    <row r="37" spans="1:19" x14ac:dyDescent="0.25">
      <c r="A37" s="1"/>
      <c r="B37" s="47">
        <f t="shared" si="0"/>
        <v>28</v>
      </c>
      <c r="C37" s="54" t="s">
        <v>18</v>
      </c>
      <c r="D37" s="51" t="s">
        <v>47</v>
      </c>
      <c r="E37" s="51" t="s">
        <v>76</v>
      </c>
      <c r="F37" s="51" t="s">
        <v>99</v>
      </c>
      <c r="G37" s="51" t="s">
        <v>122</v>
      </c>
      <c r="H37" s="51" t="s">
        <v>139</v>
      </c>
      <c r="I37" s="51"/>
      <c r="J37" s="51" t="s">
        <v>161</v>
      </c>
      <c r="K37" s="51" t="s">
        <v>185</v>
      </c>
      <c r="L37" s="51">
        <v>1</v>
      </c>
      <c r="M37" s="37">
        <f t="shared" si="1"/>
        <v>10</v>
      </c>
      <c r="N37" s="51">
        <v>11</v>
      </c>
      <c r="O37" s="61" t="s">
        <v>187</v>
      </c>
      <c r="P37" s="52">
        <v>2.1604999999999999</v>
      </c>
      <c r="Q37" s="52">
        <f t="shared" ref="Q37" si="13">P37*N37</f>
        <v>23.765499999999999</v>
      </c>
      <c r="R37" s="51"/>
      <c r="S37" s="59"/>
    </row>
    <row r="38" spans="1:19" ht="15.75" thickBot="1" x14ac:dyDescent="0.3">
      <c r="A38" s="1"/>
      <c r="B38" s="46">
        <f>ROW(B38) - ROW($B$9)</f>
        <v>29</v>
      </c>
      <c r="C38" s="53" t="s">
        <v>18</v>
      </c>
      <c r="D38" s="37" t="s">
        <v>48</v>
      </c>
      <c r="E38" s="37" t="s">
        <v>77</v>
      </c>
      <c r="F38" s="37" t="s">
        <v>100</v>
      </c>
      <c r="G38" s="37" t="s">
        <v>123</v>
      </c>
      <c r="H38" s="37" t="s">
        <v>139</v>
      </c>
      <c r="I38" s="37"/>
      <c r="J38" s="37" t="s">
        <v>162</v>
      </c>
      <c r="K38" s="37" t="s">
        <v>185</v>
      </c>
      <c r="L38" s="37">
        <v>1</v>
      </c>
      <c r="M38" s="37">
        <f t="shared" si="1"/>
        <v>10</v>
      </c>
      <c r="N38" s="37">
        <v>11</v>
      </c>
      <c r="O38" s="60" t="s">
        <v>187</v>
      </c>
      <c r="P38" s="38">
        <v>1.3826000000000001</v>
      </c>
      <c r="Q38" s="38">
        <f>P38*N38</f>
        <v>15.208600000000001</v>
      </c>
      <c r="R38" s="37"/>
      <c r="S38" s="39"/>
    </row>
    <row r="39" spans="1:19" ht="24" x14ac:dyDescent="0.25">
      <c r="A39" s="1"/>
      <c r="B39" s="46">
        <f t="shared" ref="B39:B41" si="14">ROW(B39) - ROW($B$9)</f>
        <v>30</v>
      </c>
      <c r="C39" s="81" t="s">
        <v>203</v>
      </c>
      <c r="D39" s="37" t="s">
        <v>185</v>
      </c>
      <c r="E39" s="82" t="s">
        <v>204</v>
      </c>
      <c r="F39" s="37" t="s">
        <v>185</v>
      </c>
      <c r="G39" s="82" t="s">
        <v>185</v>
      </c>
      <c r="H39" s="37" t="s">
        <v>185</v>
      </c>
      <c r="I39" s="37" t="s">
        <v>185</v>
      </c>
      <c r="J39" s="85" t="s">
        <v>185</v>
      </c>
      <c r="K39" s="91" t="s">
        <v>185</v>
      </c>
      <c r="L39" s="83">
        <v>1</v>
      </c>
      <c r="M39" s="37">
        <f t="shared" si="1"/>
        <v>10</v>
      </c>
      <c r="N39" s="91">
        <v>11</v>
      </c>
      <c r="O39" s="97" t="s">
        <v>208</v>
      </c>
      <c r="P39" s="93">
        <v>3.46</v>
      </c>
      <c r="Q39" s="38">
        <f t="shared" ref="Q39:Q41" si="15">P39*N39</f>
        <v>38.06</v>
      </c>
      <c r="R39" s="91"/>
      <c r="S39" s="91"/>
    </row>
    <row r="40" spans="1:19" ht="48" x14ac:dyDescent="0.25">
      <c r="A40" s="1"/>
      <c r="B40" s="46">
        <f t="shared" si="14"/>
        <v>31</v>
      </c>
      <c r="C40" s="81" t="s">
        <v>203</v>
      </c>
      <c r="D40" s="37" t="s">
        <v>185</v>
      </c>
      <c r="E40" s="82" t="s">
        <v>205</v>
      </c>
      <c r="F40" s="37" t="s">
        <v>185</v>
      </c>
      <c r="G40" s="82" t="s">
        <v>185</v>
      </c>
      <c r="H40" s="37" t="s">
        <v>185</v>
      </c>
      <c r="I40" s="37" t="s">
        <v>185</v>
      </c>
      <c r="J40" s="85" t="s">
        <v>185</v>
      </c>
      <c r="K40" s="51" t="s">
        <v>185</v>
      </c>
      <c r="L40" s="83">
        <v>1</v>
      </c>
      <c r="M40" s="37">
        <f t="shared" si="1"/>
        <v>10</v>
      </c>
      <c r="N40" s="51">
        <v>11</v>
      </c>
      <c r="O40" s="98" t="s">
        <v>208</v>
      </c>
      <c r="P40" s="52">
        <v>3.15</v>
      </c>
      <c r="Q40" s="38">
        <f t="shared" si="15"/>
        <v>34.65</v>
      </c>
      <c r="R40" s="51"/>
      <c r="S40" s="51"/>
    </row>
    <row r="41" spans="1:19" ht="48.75" thickBot="1" x14ac:dyDescent="0.3">
      <c r="A41" s="1"/>
      <c r="B41" s="46">
        <f t="shared" si="14"/>
        <v>32</v>
      </c>
      <c r="C41" s="81" t="s">
        <v>203</v>
      </c>
      <c r="D41" s="37" t="s">
        <v>185</v>
      </c>
      <c r="E41" s="82" t="s">
        <v>206</v>
      </c>
      <c r="F41" s="37" t="s">
        <v>185</v>
      </c>
      <c r="G41" s="82" t="s">
        <v>207</v>
      </c>
      <c r="H41" s="37" t="s">
        <v>185</v>
      </c>
      <c r="I41" s="37" t="s">
        <v>185</v>
      </c>
      <c r="J41" s="85" t="s">
        <v>185</v>
      </c>
      <c r="K41" s="39" t="s">
        <v>185</v>
      </c>
      <c r="L41" s="83">
        <v>1</v>
      </c>
      <c r="M41" s="37">
        <f t="shared" si="1"/>
        <v>10</v>
      </c>
      <c r="N41" s="39">
        <v>1</v>
      </c>
      <c r="O41" s="99" t="s">
        <v>209</v>
      </c>
      <c r="P41" s="94">
        <v>33.950000000000003</v>
      </c>
      <c r="Q41" s="38">
        <f t="shared" si="15"/>
        <v>33.950000000000003</v>
      </c>
      <c r="R41" s="39"/>
      <c r="S41" s="39"/>
    </row>
    <row r="42" spans="1:19" ht="19.5" thickBot="1" x14ac:dyDescent="0.3">
      <c r="A42" s="1"/>
      <c r="B42" s="40"/>
      <c r="C42" s="41"/>
      <c r="D42" s="42"/>
      <c r="E42" s="43"/>
      <c r="F42" s="44"/>
      <c r="G42" s="45"/>
      <c r="H42" s="44"/>
      <c r="I42" s="45"/>
      <c r="J42" s="44"/>
      <c r="K42" s="45"/>
      <c r="L42" s="45"/>
      <c r="M42" s="45"/>
      <c r="N42" s="78" t="s">
        <v>5</v>
      </c>
      <c r="O42" s="79"/>
      <c r="P42" s="79"/>
      <c r="Q42" s="48">
        <f>SUM(Q10:Q38)</f>
        <v>318.77529999999996</v>
      </c>
      <c r="R42" s="74"/>
      <c r="S42" s="75"/>
    </row>
    <row r="43" spans="1:19" ht="19.5" thickBot="1" x14ac:dyDescent="0.3">
      <c r="A43" s="1"/>
      <c r="B43" s="25"/>
      <c r="C43" s="36"/>
      <c r="D43" s="9"/>
      <c r="E43" s="10"/>
      <c r="F43" s="10"/>
      <c r="G43" s="10"/>
      <c r="H43" s="10"/>
      <c r="I43" s="10"/>
      <c r="J43" s="10"/>
      <c r="K43" s="10"/>
      <c r="L43" s="10"/>
      <c r="M43" s="10"/>
      <c r="N43" s="78" t="s">
        <v>6</v>
      </c>
      <c r="O43" s="79"/>
      <c r="P43" s="79"/>
      <c r="Q43" s="49">
        <f>Q42/10</f>
        <v>31.877529999999997</v>
      </c>
      <c r="R43" s="76"/>
      <c r="S43" s="77"/>
    </row>
  </sheetData>
  <mergeCells count="5">
    <mergeCell ref="K1:S1"/>
    <mergeCell ref="S3:S8"/>
    <mergeCell ref="R42:S43"/>
    <mergeCell ref="N42:P42"/>
    <mergeCell ref="N43:P43"/>
  </mergeCells>
  <hyperlinks>
    <hyperlink ref="O10" r:id="rId1"/>
    <hyperlink ref="O11" r:id="rId2"/>
    <hyperlink ref="O13" r:id="rId3"/>
    <hyperlink ref="O14" r:id="rId4"/>
    <hyperlink ref="O15" r:id="rId5"/>
    <hyperlink ref="O16" r:id="rId6"/>
    <hyperlink ref="O21" r:id="rId7"/>
    <hyperlink ref="O22" r:id="rId8"/>
    <hyperlink ref="O23" r:id="rId9"/>
    <hyperlink ref="O24" r:id="rId10"/>
    <hyperlink ref="O25" r:id="rId11"/>
    <hyperlink ref="O26" r:id="rId12"/>
    <hyperlink ref="O27" r:id="rId13"/>
    <hyperlink ref="O28" r:id="rId14"/>
    <hyperlink ref="O29" r:id="rId15"/>
    <hyperlink ref="O30" r:id="rId16"/>
    <hyperlink ref="O32" r:id="rId17"/>
    <hyperlink ref="O33" r:id="rId18"/>
    <hyperlink ref="O34" r:id="rId19"/>
    <hyperlink ref="O36" r:id="rId20"/>
    <hyperlink ref="O37" r:id="rId21"/>
    <hyperlink ref="O38" r:id="rId22"/>
    <hyperlink ref="O12" r:id="rId23"/>
    <hyperlink ref="O18" r:id="rId24" location="nav-specification"/>
    <hyperlink ref="O35" r:id="rId25"/>
    <hyperlink ref="O41" r:id="rId26"/>
    <hyperlink ref="O40" r:id="rId27"/>
    <hyperlink ref="O39" r:id="rId28"/>
  </hyperlinks>
  <pageMargins left="0.7" right="0.7" top="0.75" bottom="0.75" header="0.3" footer="0.3"/>
  <pageSetup paperSize="9" orientation="portrait" r:id="rId29"/>
  <drawing r:id="rId3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3"/>
  <sheetViews>
    <sheetView topLeftCell="E26" workbookViewId="0">
      <selection activeCell="Q41" sqref="Q41"/>
    </sheetView>
  </sheetViews>
  <sheetFormatPr defaultRowHeight="15" x14ac:dyDescent="0.25"/>
  <cols>
    <col min="2" max="2" width="3" bestFit="1" customWidth="1"/>
    <col min="3" max="3" width="9.85546875" bestFit="1" customWidth="1"/>
    <col min="4" max="4" width="31.140625" bestFit="1" customWidth="1"/>
    <col min="5" max="5" width="25.28515625" customWidth="1"/>
    <col min="6" max="6" width="13.85546875" customWidth="1"/>
    <col min="7" max="7" width="25.28515625" bestFit="1" customWidth="1"/>
    <col min="8" max="8" width="13.285156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8.28515625" bestFit="1" customWidth="1"/>
    <col min="14" max="14" width="15.5703125" bestFit="1" customWidth="1"/>
    <col min="15" max="15" width="11.7109375" bestFit="1" customWidth="1"/>
    <col min="16" max="16" width="18.7109375" bestFit="1" customWidth="1"/>
    <col min="17" max="17" width="19.28515625" bestFit="1" customWidth="1"/>
    <col min="18" max="18" width="8.5703125" bestFit="1" customWidth="1"/>
    <col min="19" max="19" width="27.42578125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70"/>
      <c r="L1" s="70"/>
      <c r="M1" s="70"/>
      <c r="N1" s="70"/>
      <c r="O1" s="70"/>
      <c r="P1" s="70"/>
      <c r="Q1" s="70"/>
      <c r="R1" s="70"/>
      <c r="S1" s="71"/>
    </row>
    <row r="2" spans="1:19" ht="32.25" thickBot="1" x14ac:dyDescent="0.3">
      <c r="A2" s="1"/>
      <c r="B2" s="21"/>
      <c r="C2" s="31"/>
      <c r="D2" s="11" t="s">
        <v>0</v>
      </c>
      <c r="E2" s="11"/>
      <c r="F2" s="55" t="s">
        <v>183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6" t="s">
        <v>184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72"/>
    </row>
    <row r="4" spans="1:19" x14ac:dyDescent="0.25">
      <c r="A4" s="1"/>
      <c r="B4" s="22"/>
      <c r="C4" s="32"/>
      <c r="D4" s="13" t="s">
        <v>2</v>
      </c>
      <c r="E4" s="13"/>
      <c r="F4" s="57" t="s">
        <v>184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73"/>
    </row>
    <row r="5" spans="1:19" x14ac:dyDescent="0.25">
      <c r="A5" s="1"/>
      <c r="B5" s="22"/>
      <c r="C5" s="32"/>
      <c r="D5" s="13" t="s">
        <v>3</v>
      </c>
      <c r="E5" s="13"/>
      <c r="F5" s="58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73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73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73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73"/>
    </row>
    <row r="9" spans="1:19" ht="15.75" thickBot="1" x14ac:dyDescent="0.3">
      <c r="A9" s="1"/>
      <c r="B9" s="30" t="s">
        <v>4</v>
      </c>
      <c r="C9" s="30" t="s">
        <v>8</v>
      </c>
      <c r="D9" s="30" t="s">
        <v>19</v>
      </c>
      <c r="E9" s="30" t="s">
        <v>49</v>
      </c>
      <c r="F9" s="30" t="s">
        <v>78</v>
      </c>
      <c r="G9" s="30" t="s">
        <v>101</v>
      </c>
      <c r="H9" s="30" t="s">
        <v>124</v>
      </c>
      <c r="I9" s="30" t="s">
        <v>176</v>
      </c>
      <c r="J9" s="30" t="s">
        <v>140</v>
      </c>
      <c r="K9" s="30" t="s">
        <v>177</v>
      </c>
      <c r="L9" s="30" t="s">
        <v>175</v>
      </c>
      <c r="M9" s="30" t="s">
        <v>193</v>
      </c>
      <c r="N9" s="30" t="s">
        <v>194</v>
      </c>
      <c r="O9" s="30" t="s">
        <v>178</v>
      </c>
      <c r="P9" s="30" t="s">
        <v>195</v>
      </c>
      <c r="Q9" s="30" t="s">
        <v>196</v>
      </c>
      <c r="R9" s="30" t="s">
        <v>179</v>
      </c>
      <c r="S9" s="30" t="s">
        <v>180</v>
      </c>
    </row>
    <row r="10" spans="1:19" x14ac:dyDescent="0.25">
      <c r="A10" s="1"/>
      <c r="B10" s="46">
        <f>ROW(B10) - ROW($B$9)</f>
        <v>1</v>
      </c>
      <c r="C10" s="54" t="s">
        <v>9</v>
      </c>
      <c r="D10" s="37" t="s">
        <v>20</v>
      </c>
      <c r="E10" s="37" t="s">
        <v>50</v>
      </c>
      <c r="F10" s="37" t="s">
        <v>79</v>
      </c>
      <c r="G10" s="37" t="s">
        <v>102</v>
      </c>
      <c r="H10" s="37" t="s">
        <v>125</v>
      </c>
      <c r="I10" s="37" t="s">
        <v>185</v>
      </c>
      <c r="J10" s="37" t="s">
        <v>141</v>
      </c>
      <c r="K10" s="37" t="s">
        <v>163</v>
      </c>
      <c r="L10" s="37">
        <v>6</v>
      </c>
      <c r="M10" s="37">
        <f>L10*20</f>
        <v>120</v>
      </c>
      <c r="N10" s="37">
        <v>200</v>
      </c>
      <c r="O10" s="60" t="s">
        <v>187</v>
      </c>
      <c r="P10" s="38">
        <v>1.1000000000000001E-3</v>
      </c>
      <c r="Q10" s="38">
        <f>P10*N10</f>
        <v>0.22</v>
      </c>
      <c r="R10" s="37"/>
      <c r="S10" s="50"/>
    </row>
    <row r="11" spans="1:19" x14ac:dyDescent="0.25">
      <c r="A11" s="1"/>
      <c r="B11" s="47">
        <f t="shared" ref="B11:B37" si="0">ROW(B11) - ROW($B$9)</f>
        <v>2</v>
      </c>
      <c r="C11" s="54" t="s">
        <v>9</v>
      </c>
      <c r="D11" s="51" t="s">
        <v>21</v>
      </c>
      <c r="E11" s="51" t="s">
        <v>51</v>
      </c>
      <c r="F11" s="51" t="s">
        <v>80</v>
      </c>
      <c r="G11" s="51" t="s">
        <v>103</v>
      </c>
      <c r="H11" s="51" t="s">
        <v>126</v>
      </c>
      <c r="I11" s="51" t="s">
        <v>185</v>
      </c>
      <c r="J11" s="51" t="s">
        <v>142</v>
      </c>
      <c r="K11" s="51" t="s">
        <v>164</v>
      </c>
      <c r="L11" s="51">
        <v>1</v>
      </c>
      <c r="M11" s="37">
        <f t="shared" ref="M11:M41" si="1">L11*20</f>
        <v>20</v>
      </c>
      <c r="N11" s="51">
        <v>50</v>
      </c>
      <c r="O11" s="61" t="s">
        <v>187</v>
      </c>
      <c r="P11" s="52">
        <v>1.09E-2</v>
      </c>
      <c r="Q11" s="52">
        <f t="shared" ref="Q11" si="2">P11*N11</f>
        <v>0.54500000000000004</v>
      </c>
      <c r="R11" s="51"/>
      <c r="S11" s="51"/>
    </row>
    <row r="12" spans="1:19" x14ac:dyDescent="0.25">
      <c r="A12" s="1"/>
      <c r="B12" s="46">
        <f>ROW(B12) - ROW($B$9)</f>
        <v>3</v>
      </c>
      <c r="C12" s="53" t="s">
        <v>9</v>
      </c>
      <c r="D12" s="37" t="s">
        <v>22</v>
      </c>
      <c r="E12" s="37" t="s">
        <v>52</v>
      </c>
      <c r="F12" s="37" t="s">
        <v>81</v>
      </c>
      <c r="G12" s="66" t="s">
        <v>104</v>
      </c>
      <c r="H12" s="37" t="s">
        <v>125</v>
      </c>
      <c r="I12" s="37" t="s">
        <v>189</v>
      </c>
      <c r="J12" s="37" t="s">
        <v>190</v>
      </c>
      <c r="K12" s="37" t="s">
        <v>165</v>
      </c>
      <c r="L12" s="37">
        <v>1</v>
      </c>
      <c r="M12" s="37">
        <f t="shared" si="1"/>
        <v>20</v>
      </c>
      <c r="N12" s="37">
        <v>50</v>
      </c>
      <c r="O12" s="60" t="s">
        <v>187</v>
      </c>
      <c r="P12" s="38">
        <v>1.35E-2</v>
      </c>
      <c r="Q12" s="38">
        <f>P12*N12</f>
        <v>0.67500000000000004</v>
      </c>
      <c r="R12" s="37"/>
      <c r="S12" s="59"/>
    </row>
    <row r="13" spans="1:19" x14ac:dyDescent="0.25">
      <c r="A13" s="1"/>
      <c r="B13" s="47">
        <f t="shared" si="0"/>
        <v>4</v>
      </c>
      <c r="C13" s="54" t="s">
        <v>9</v>
      </c>
      <c r="D13" s="51" t="s">
        <v>23</v>
      </c>
      <c r="E13" s="51" t="s">
        <v>53</v>
      </c>
      <c r="F13" s="51" t="s">
        <v>79</v>
      </c>
      <c r="G13" s="51" t="s">
        <v>105</v>
      </c>
      <c r="H13" s="51" t="s">
        <v>125</v>
      </c>
      <c r="I13" s="51" t="s">
        <v>185</v>
      </c>
      <c r="J13" s="51" t="s">
        <v>143</v>
      </c>
      <c r="K13" s="51" t="s">
        <v>166</v>
      </c>
      <c r="L13" s="51">
        <v>1</v>
      </c>
      <c r="M13" s="37">
        <f t="shared" si="1"/>
        <v>20</v>
      </c>
      <c r="N13" s="51">
        <v>100</v>
      </c>
      <c r="O13" s="61" t="s">
        <v>187</v>
      </c>
      <c r="P13" s="52">
        <v>5.3E-3</v>
      </c>
      <c r="Q13" s="52">
        <f t="shared" ref="Q13" si="3">P13*N13</f>
        <v>0.53</v>
      </c>
      <c r="R13" s="51"/>
      <c r="S13" s="59"/>
    </row>
    <row r="14" spans="1:19" x14ac:dyDescent="0.25">
      <c r="A14" s="1"/>
      <c r="B14" s="46">
        <f>ROW(B14) - ROW($B$9)</f>
        <v>5</v>
      </c>
      <c r="C14" s="53" t="s">
        <v>9</v>
      </c>
      <c r="D14" s="37" t="s">
        <v>24</v>
      </c>
      <c r="E14" s="37" t="s">
        <v>54</v>
      </c>
      <c r="F14" s="37" t="s">
        <v>79</v>
      </c>
      <c r="G14" s="37" t="s">
        <v>106</v>
      </c>
      <c r="H14" s="37" t="s">
        <v>125</v>
      </c>
      <c r="I14" s="37" t="s">
        <v>185</v>
      </c>
      <c r="J14" s="37" t="s">
        <v>144</v>
      </c>
      <c r="K14" s="37" t="s">
        <v>167</v>
      </c>
      <c r="L14" s="37">
        <v>1</v>
      </c>
      <c r="M14" s="37">
        <f t="shared" si="1"/>
        <v>20</v>
      </c>
      <c r="N14" s="37">
        <v>40</v>
      </c>
      <c r="O14" s="60" t="s">
        <v>187</v>
      </c>
      <c r="P14" s="38">
        <v>3.44E-2</v>
      </c>
      <c r="Q14" s="38">
        <f>P14*N14</f>
        <v>1.3759999999999999</v>
      </c>
      <c r="R14" s="37"/>
      <c r="S14" s="59"/>
    </row>
    <row r="15" spans="1:19" x14ac:dyDescent="0.25">
      <c r="A15" s="1"/>
      <c r="B15" s="47">
        <f t="shared" si="0"/>
        <v>6</v>
      </c>
      <c r="C15" s="54" t="s">
        <v>9</v>
      </c>
      <c r="D15" s="51" t="s">
        <v>25</v>
      </c>
      <c r="E15" s="51" t="s">
        <v>55</v>
      </c>
      <c r="F15" s="51" t="s">
        <v>188</v>
      </c>
      <c r="G15" s="51" t="s">
        <v>82</v>
      </c>
      <c r="H15" s="51" t="s">
        <v>127</v>
      </c>
      <c r="I15" s="51" t="s">
        <v>185</v>
      </c>
      <c r="J15" s="51" t="s">
        <v>145</v>
      </c>
      <c r="K15" s="51" t="s">
        <v>168</v>
      </c>
      <c r="L15" s="51">
        <v>1</v>
      </c>
      <c r="M15" s="37">
        <f t="shared" si="1"/>
        <v>20</v>
      </c>
      <c r="N15" s="51">
        <v>21</v>
      </c>
      <c r="O15" s="61" t="s">
        <v>187</v>
      </c>
      <c r="P15" s="52">
        <v>0.50600000000000001</v>
      </c>
      <c r="Q15" s="52">
        <f t="shared" ref="Q15" si="4">P15*N15</f>
        <v>10.625999999999999</v>
      </c>
      <c r="R15" s="51"/>
      <c r="S15" s="59"/>
    </row>
    <row r="16" spans="1:19" x14ac:dyDescent="0.25">
      <c r="A16" s="1"/>
      <c r="B16" s="46">
        <f>ROW(B16) - ROW($B$9)</f>
        <v>7</v>
      </c>
      <c r="C16" s="53" t="s">
        <v>9</v>
      </c>
      <c r="D16" s="37" t="s">
        <v>26</v>
      </c>
      <c r="E16" s="37" t="s">
        <v>56</v>
      </c>
      <c r="F16" s="37" t="s">
        <v>79</v>
      </c>
      <c r="G16" s="37" t="s">
        <v>107</v>
      </c>
      <c r="H16" s="37" t="s">
        <v>125</v>
      </c>
      <c r="I16" s="37" t="s">
        <v>185</v>
      </c>
      <c r="J16" s="37" t="s">
        <v>146</v>
      </c>
      <c r="K16" s="37" t="s">
        <v>166</v>
      </c>
      <c r="L16" s="37">
        <v>1</v>
      </c>
      <c r="M16" s="37">
        <f t="shared" si="1"/>
        <v>20</v>
      </c>
      <c r="N16" s="37">
        <v>30</v>
      </c>
      <c r="O16" s="60" t="s">
        <v>187</v>
      </c>
      <c r="P16" s="38">
        <v>6.3100000000000003E-2</v>
      </c>
      <c r="Q16" s="38">
        <f>P16*N16</f>
        <v>1.893</v>
      </c>
      <c r="R16" s="37"/>
      <c r="S16" s="59"/>
    </row>
    <row r="17" spans="1:19" x14ac:dyDescent="0.25">
      <c r="A17" s="1"/>
      <c r="B17" s="47">
        <f t="shared" si="0"/>
        <v>8</v>
      </c>
      <c r="C17" s="62" t="s">
        <v>10</v>
      </c>
      <c r="D17" s="63" t="s">
        <v>27</v>
      </c>
      <c r="E17" s="63" t="s">
        <v>57</v>
      </c>
      <c r="F17" s="63" t="s">
        <v>188</v>
      </c>
      <c r="G17" s="63" t="s">
        <v>83</v>
      </c>
      <c r="H17" s="63" t="s">
        <v>185</v>
      </c>
      <c r="I17" s="63" t="s">
        <v>185</v>
      </c>
      <c r="J17" s="63" t="s">
        <v>185</v>
      </c>
      <c r="K17" s="63"/>
      <c r="L17" s="63">
        <v>4</v>
      </c>
      <c r="M17" s="37">
        <f t="shared" si="1"/>
        <v>80</v>
      </c>
      <c r="N17" s="63" t="s">
        <v>185</v>
      </c>
      <c r="O17" s="63" t="s">
        <v>185</v>
      </c>
      <c r="P17" s="64" t="s">
        <v>185</v>
      </c>
      <c r="Q17" s="64" t="s">
        <v>185</v>
      </c>
      <c r="R17" s="63"/>
      <c r="S17" s="65"/>
    </row>
    <row r="18" spans="1:19" ht="25.5" x14ac:dyDescent="0.25">
      <c r="A18" s="1"/>
      <c r="B18" s="46">
        <f>ROW(B18) - ROW($B$9)</f>
        <v>9</v>
      </c>
      <c r="C18" s="53" t="s">
        <v>11</v>
      </c>
      <c r="D18" s="37" t="s">
        <v>28</v>
      </c>
      <c r="E18" s="37" t="s">
        <v>58</v>
      </c>
      <c r="F18" s="37" t="s">
        <v>84</v>
      </c>
      <c r="G18" s="37" t="s">
        <v>84</v>
      </c>
      <c r="H18" s="37" t="s">
        <v>128</v>
      </c>
      <c r="I18" s="37" t="s">
        <v>185</v>
      </c>
      <c r="J18" s="37" t="s">
        <v>185</v>
      </c>
      <c r="K18" s="37" t="s">
        <v>185</v>
      </c>
      <c r="L18" s="37">
        <v>1</v>
      </c>
      <c r="M18" s="37">
        <f t="shared" si="1"/>
        <v>20</v>
      </c>
      <c r="N18" s="37">
        <v>21</v>
      </c>
      <c r="O18" s="60" t="s">
        <v>208</v>
      </c>
      <c r="P18" s="38">
        <v>0.68</v>
      </c>
      <c r="Q18" s="38">
        <f>P18*N18</f>
        <v>14.280000000000001</v>
      </c>
      <c r="R18" s="37"/>
      <c r="S18" s="59"/>
    </row>
    <row r="19" spans="1:19" ht="24" x14ac:dyDescent="0.25">
      <c r="A19" s="1"/>
      <c r="B19" s="47">
        <f t="shared" si="0"/>
        <v>10</v>
      </c>
      <c r="C19" s="62" t="s">
        <v>12</v>
      </c>
      <c r="D19" s="63" t="s">
        <v>29</v>
      </c>
      <c r="E19" s="63" t="s">
        <v>59</v>
      </c>
      <c r="F19" s="63" t="s">
        <v>85</v>
      </c>
      <c r="G19" s="63" t="s">
        <v>108</v>
      </c>
      <c r="H19" s="63" t="s">
        <v>185</v>
      </c>
      <c r="I19" s="63" t="s">
        <v>185</v>
      </c>
      <c r="J19" s="63" t="s">
        <v>185</v>
      </c>
      <c r="K19" s="63" t="s">
        <v>185</v>
      </c>
      <c r="L19" s="63">
        <v>1</v>
      </c>
      <c r="M19" s="63">
        <f t="shared" si="1"/>
        <v>20</v>
      </c>
      <c r="N19" s="63" t="s">
        <v>185</v>
      </c>
      <c r="O19" s="63" t="s">
        <v>185</v>
      </c>
      <c r="P19" s="64" t="s">
        <v>185</v>
      </c>
      <c r="Q19" s="64" t="s">
        <v>185</v>
      </c>
      <c r="R19" s="51"/>
      <c r="S19" s="59"/>
    </row>
    <row r="20" spans="1:19" x14ac:dyDescent="0.25">
      <c r="A20" s="1"/>
      <c r="B20" s="46">
        <f>ROW(B20) - ROW($B$9)</f>
        <v>11</v>
      </c>
      <c r="C20" s="67" t="s">
        <v>186</v>
      </c>
      <c r="D20" s="66" t="s">
        <v>30</v>
      </c>
      <c r="E20" s="66" t="s">
        <v>185</v>
      </c>
      <c r="F20" s="69" t="s">
        <v>185</v>
      </c>
      <c r="G20" s="66" t="s">
        <v>86</v>
      </c>
      <c r="H20" s="66" t="s">
        <v>185</v>
      </c>
      <c r="I20" s="66" t="s">
        <v>185</v>
      </c>
      <c r="J20" s="66" t="s">
        <v>185</v>
      </c>
      <c r="K20" s="66" t="s">
        <v>185</v>
      </c>
      <c r="L20" s="66">
        <v>1</v>
      </c>
      <c r="M20" s="66">
        <f t="shared" si="1"/>
        <v>20</v>
      </c>
      <c r="N20" s="66" t="s">
        <v>185</v>
      </c>
      <c r="O20" s="66" t="s">
        <v>185</v>
      </c>
      <c r="P20" s="68"/>
      <c r="Q20" s="68" t="s">
        <v>185</v>
      </c>
      <c r="R20" s="66"/>
      <c r="S20" s="65"/>
    </row>
    <row r="21" spans="1:19" ht="24" x14ac:dyDescent="0.25">
      <c r="A21" s="1"/>
      <c r="B21" s="47">
        <f t="shared" si="0"/>
        <v>12</v>
      </c>
      <c r="C21" s="54" t="s">
        <v>13</v>
      </c>
      <c r="D21" s="51" t="s">
        <v>31</v>
      </c>
      <c r="E21" s="51" t="s">
        <v>60</v>
      </c>
      <c r="F21" s="51" t="s">
        <v>87</v>
      </c>
      <c r="G21" s="51" t="s">
        <v>109</v>
      </c>
      <c r="H21" s="51" t="s">
        <v>129</v>
      </c>
      <c r="I21" s="51" t="s">
        <v>185</v>
      </c>
      <c r="J21" s="51" t="s">
        <v>147</v>
      </c>
      <c r="K21" s="51" t="s">
        <v>169</v>
      </c>
      <c r="L21" s="51">
        <v>1</v>
      </c>
      <c r="M21" s="37">
        <f t="shared" si="1"/>
        <v>20</v>
      </c>
      <c r="N21" s="51">
        <v>25</v>
      </c>
      <c r="O21" s="61" t="s">
        <v>187</v>
      </c>
      <c r="P21" s="52">
        <v>8.4000000000000005E-2</v>
      </c>
      <c r="Q21" s="52">
        <f t="shared" ref="Q21" si="5">P21*N21</f>
        <v>2.1</v>
      </c>
      <c r="R21" s="51"/>
      <c r="S21" s="59"/>
    </row>
    <row r="22" spans="1:19" ht="48" x14ac:dyDescent="0.25">
      <c r="A22" s="1"/>
      <c r="B22" s="46">
        <f>ROW(B22) - ROW($B$9)</f>
        <v>13</v>
      </c>
      <c r="C22" s="53" t="s">
        <v>14</v>
      </c>
      <c r="D22" s="37" t="s">
        <v>32</v>
      </c>
      <c r="E22" s="37" t="s">
        <v>61</v>
      </c>
      <c r="F22" s="37" t="s">
        <v>188</v>
      </c>
      <c r="G22" s="37" t="s">
        <v>88</v>
      </c>
      <c r="H22" s="37" t="s">
        <v>130</v>
      </c>
      <c r="I22" s="37" t="s">
        <v>185</v>
      </c>
      <c r="J22" s="37" t="s">
        <v>148</v>
      </c>
      <c r="K22" s="37" t="s">
        <v>185</v>
      </c>
      <c r="L22" s="37">
        <v>1</v>
      </c>
      <c r="M22" s="37">
        <f t="shared" si="1"/>
        <v>20</v>
      </c>
      <c r="N22" s="37">
        <v>30</v>
      </c>
      <c r="O22" s="60" t="s">
        <v>187</v>
      </c>
      <c r="P22" s="38">
        <v>5.6099999999999997E-2</v>
      </c>
      <c r="Q22" s="38">
        <f>P22*N22</f>
        <v>1.6829999999999998</v>
      </c>
      <c r="R22" s="37"/>
      <c r="S22" s="59"/>
    </row>
    <row r="23" spans="1:19" ht="60" x14ac:dyDescent="0.25">
      <c r="A23" s="1"/>
      <c r="B23" s="47">
        <f t="shared" si="0"/>
        <v>14</v>
      </c>
      <c r="C23" s="54" t="s">
        <v>15</v>
      </c>
      <c r="D23" s="51" t="s">
        <v>33</v>
      </c>
      <c r="E23" s="51" t="s">
        <v>62</v>
      </c>
      <c r="F23" s="51" t="s">
        <v>89</v>
      </c>
      <c r="G23" s="51" t="s">
        <v>110</v>
      </c>
      <c r="H23" s="51" t="s">
        <v>131</v>
      </c>
      <c r="I23" s="51" t="s">
        <v>185</v>
      </c>
      <c r="J23" s="51" t="s">
        <v>149</v>
      </c>
      <c r="K23" s="51"/>
      <c r="L23" s="51">
        <v>1</v>
      </c>
      <c r="M23" s="37">
        <f t="shared" si="1"/>
        <v>20</v>
      </c>
      <c r="N23" s="51">
        <v>40</v>
      </c>
      <c r="O23" s="61" t="s">
        <v>187</v>
      </c>
      <c r="P23" s="52">
        <v>3.3500000000000002E-2</v>
      </c>
      <c r="Q23" s="52">
        <f t="shared" ref="Q23" si="6">P23*N23</f>
        <v>1.34</v>
      </c>
      <c r="R23" s="51"/>
      <c r="S23" s="59"/>
    </row>
    <row r="24" spans="1:19" ht="24" x14ac:dyDescent="0.25">
      <c r="A24" s="1"/>
      <c r="B24" s="46">
        <f>ROW(B24) - ROW($B$9)</f>
        <v>15</v>
      </c>
      <c r="C24" s="54" t="s">
        <v>16</v>
      </c>
      <c r="D24" s="37" t="s">
        <v>34</v>
      </c>
      <c r="E24" s="37" t="s">
        <v>63</v>
      </c>
      <c r="F24" s="37" t="s">
        <v>90</v>
      </c>
      <c r="G24" s="37" t="s">
        <v>111</v>
      </c>
      <c r="H24" s="37" t="s">
        <v>125</v>
      </c>
      <c r="I24" s="37" t="s">
        <v>185</v>
      </c>
      <c r="J24" s="37" t="s">
        <v>150</v>
      </c>
      <c r="K24" s="37" t="s">
        <v>170</v>
      </c>
      <c r="L24" s="37">
        <v>5</v>
      </c>
      <c r="M24" s="37">
        <f t="shared" si="1"/>
        <v>100</v>
      </c>
      <c r="N24" s="37">
        <v>200</v>
      </c>
      <c r="O24" s="60" t="s">
        <v>187</v>
      </c>
      <c r="P24" s="38">
        <v>8.0000000000000004E-4</v>
      </c>
      <c r="Q24" s="38">
        <f>P24*N24</f>
        <v>0.16</v>
      </c>
      <c r="R24" s="37"/>
      <c r="S24" s="59"/>
    </row>
    <row r="25" spans="1:19" ht="48" x14ac:dyDescent="0.25">
      <c r="A25" s="1"/>
      <c r="B25" s="47">
        <f t="shared" si="0"/>
        <v>16</v>
      </c>
      <c r="C25" s="54" t="s">
        <v>16</v>
      </c>
      <c r="D25" s="51" t="s">
        <v>35</v>
      </c>
      <c r="E25" s="51" t="s">
        <v>64</v>
      </c>
      <c r="F25" s="51" t="s">
        <v>90</v>
      </c>
      <c r="G25" s="51" t="s">
        <v>112</v>
      </c>
      <c r="H25" s="51" t="s">
        <v>132</v>
      </c>
      <c r="I25" s="51" t="s">
        <v>185</v>
      </c>
      <c r="J25" s="51" t="s">
        <v>151</v>
      </c>
      <c r="K25" s="51" t="s">
        <v>171</v>
      </c>
      <c r="L25" s="51">
        <v>1</v>
      </c>
      <c r="M25" s="37">
        <f t="shared" si="1"/>
        <v>20</v>
      </c>
      <c r="N25" s="51">
        <v>100</v>
      </c>
      <c r="O25" s="61" t="s">
        <v>187</v>
      </c>
      <c r="P25" s="52">
        <v>8.0000000000000004E-4</v>
      </c>
      <c r="Q25" s="52">
        <f t="shared" ref="Q25" si="7">P25*N25</f>
        <v>0.08</v>
      </c>
      <c r="R25" s="51"/>
      <c r="S25" s="59"/>
    </row>
    <row r="26" spans="1:19" ht="48" x14ac:dyDescent="0.25">
      <c r="A26" s="1"/>
      <c r="B26" s="46">
        <f>ROW(B26) - ROW($B$9)</f>
        <v>17</v>
      </c>
      <c r="C26" s="53" t="s">
        <v>16</v>
      </c>
      <c r="D26" s="37" t="s">
        <v>36</v>
      </c>
      <c r="E26" s="37" t="s">
        <v>65</v>
      </c>
      <c r="F26" s="37" t="s">
        <v>90</v>
      </c>
      <c r="G26" s="37" t="s">
        <v>113</v>
      </c>
      <c r="H26" s="37" t="s">
        <v>132</v>
      </c>
      <c r="I26" s="37" t="s">
        <v>185</v>
      </c>
      <c r="J26" s="37" t="s">
        <v>152</v>
      </c>
      <c r="K26" s="37" t="s">
        <v>172</v>
      </c>
      <c r="L26" s="37">
        <v>1</v>
      </c>
      <c r="M26" s="37">
        <f t="shared" si="1"/>
        <v>20</v>
      </c>
      <c r="N26" s="37">
        <v>100</v>
      </c>
      <c r="O26" s="60" t="s">
        <v>187</v>
      </c>
      <c r="P26" s="38">
        <v>6.9999999999999999E-4</v>
      </c>
      <c r="Q26" s="38">
        <f>P26*N26</f>
        <v>6.9999999999999993E-2</v>
      </c>
      <c r="R26" s="37"/>
      <c r="S26" s="59"/>
    </row>
    <row r="27" spans="1:19" ht="36" x14ac:dyDescent="0.25">
      <c r="A27" s="1"/>
      <c r="B27" s="47">
        <f t="shared" si="0"/>
        <v>18</v>
      </c>
      <c r="C27" s="54" t="s">
        <v>16</v>
      </c>
      <c r="D27" s="51" t="s">
        <v>37</v>
      </c>
      <c r="E27" s="51" t="s">
        <v>66</v>
      </c>
      <c r="F27" s="51" t="s">
        <v>90</v>
      </c>
      <c r="G27" s="51" t="s">
        <v>114</v>
      </c>
      <c r="H27" s="51" t="s">
        <v>132</v>
      </c>
      <c r="I27" s="51" t="s">
        <v>185</v>
      </c>
      <c r="J27" s="51" t="s">
        <v>153</v>
      </c>
      <c r="K27" s="51" t="s">
        <v>173</v>
      </c>
      <c r="L27" s="51">
        <v>2</v>
      </c>
      <c r="M27" s="37">
        <f t="shared" si="1"/>
        <v>40</v>
      </c>
      <c r="N27" s="51">
        <v>50</v>
      </c>
      <c r="O27" s="61" t="s">
        <v>187</v>
      </c>
      <c r="P27" s="52">
        <v>4.5999999999999999E-3</v>
      </c>
      <c r="Q27" s="52">
        <f t="shared" ref="Q27" si="8">P27*N27</f>
        <v>0.22999999999999998</v>
      </c>
      <c r="R27" s="51"/>
      <c r="S27" s="59"/>
    </row>
    <row r="28" spans="1:19" x14ac:dyDescent="0.25">
      <c r="A28" s="1"/>
      <c r="B28" s="46">
        <f>ROW(B28) - ROW($B$9)</f>
        <v>19</v>
      </c>
      <c r="C28" s="53" t="s">
        <v>16</v>
      </c>
      <c r="D28" s="37" t="s">
        <v>38</v>
      </c>
      <c r="E28" s="37" t="s">
        <v>67</v>
      </c>
      <c r="F28" s="37" t="s">
        <v>90</v>
      </c>
      <c r="G28" s="37" t="s">
        <v>115</v>
      </c>
      <c r="H28" s="37" t="s">
        <v>125</v>
      </c>
      <c r="I28" s="37" t="s">
        <v>185</v>
      </c>
      <c r="J28" s="37" t="s">
        <v>154</v>
      </c>
      <c r="K28" s="37" t="s">
        <v>174</v>
      </c>
      <c r="L28" s="37">
        <v>4</v>
      </c>
      <c r="M28" s="37">
        <f t="shared" si="1"/>
        <v>80</v>
      </c>
      <c r="N28" s="37">
        <v>100</v>
      </c>
      <c r="O28" s="60" t="s">
        <v>187</v>
      </c>
      <c r="P28" s="38">
        <v>8.9999999999999998E-4</v>
      </c>
      <c r="Q28" s="38">
        <f>P28*N28</f>
        <v>0.09</v>
      </c>
      <c r="R28" s="37"/>
      <c r="S28" s="59"/>
    </row>
    <row r="29" spans="1:19" ht="25.5" x14ac:dyDescent="0.25">
      <c r="A29" s="1"/>
      <c r="B29" s="47">
        <f t="shared" si="0"/>
        <v>20</v>
      </c>
      <c r="C29" s="54" t="s">
        <v>17</v>
      </c>
      <c r="D29" s="51" t="s">
        <v>39</v>
      </c>
      <c r="E29" s="51" t="s">
        <v>68</v>
      </c>
      <c r="F29" s="51" t="s">
        <v>91</v>
      </c>
      <c r="G29" s="51" t="s">
        <v>116</v>
      </c>
      <c r="H29" s="51" t="s">
        <v>133</v>
      </c>
      <c r="I29" s="51" t="s">
        <v>185</v>
      </c>
      <c r="J29" s="51" t="s">
        <v>155</v>
      </c>
      <c r="K29" s="51" t="s">
        <v>185</v>
      </c>
      <c r="L29" s="51">
        <v>1</v>
      </c>
      <c r="M29" s="37">
        <f t="shared" si="1"/>
        <v>20</v>
      </c>
      <c r="N29" s="51">
        <v>25</v>
      </c>
      <c r="O29" s="61" t="s">
        <v>187</v>
      </c>
      <c r="P29" s="52">
        <v>0.2923</v>
      </c>
      <c r="Q29" s="52">
        <f t="shared" ref="Q29" si="9">P29*N29</f>
        <v>7.3075000000000001</v>
      </c>
      <c r="R29" s="51"/>
      <c r="S29" s="59"/>
    </row>
    <row r="30" spans="1:19" ht="36" x14ac:dyDescent="0.25">
      <c r="A30" s="1"/>
      <c r="B30" s="46">
        <f>ROW(B30) - ROW($B$9)</f>
        <v>21</v>
      </c>
      <c r="C30" s="53" t="s">
        <v>18</v>
      </c>
      <c r="D30" s="37" t="s">
        <v>40</v>
      </c>
      <c r="E30" s="37" t="s">
        <v>69</v>
      </c>
      <c r="F30" s="37" t="s">
        <v>92</v>
      </c>
      <c r="G30" s="37" t="s">
        <v>117</v>
      </c>
      <c r="H30" s="37" t="s">
        <v>134</v>
      </c>
      <c r="I30" s="37" t="s">
        <v>185</v>
      </c>
      <c r="J30" s="37" t="s">
        <v>156</v>
      </c>
      <c r="K30" s="37" t="s">
        <v>185</v>
      </c>
      <c r="L30" s="37">
        <v>1</v>
      </c>
      <c r="M30" s="37">
        <f t="shared" si="1"/>
        <v>20</v>
      </c>
      <c r="N30" s="37">
        <v>21</v>
      </c>
      <c r="O30" s="60" t="s">
        <v>187</v>
      </c>
      <c r="P30" s="38">
        <v>0.73980000000000001</v>
      </c>
      <c r="Q30" s="38">
        <f>P30*N30</f>
        <v>15.5358</v>
      </c>
      <c r="R30" s="37"/>
      <c r="S30" s="59"/>
    </row>
    <row r="31" spans="1:19" ht="24" x14ac:dyDescent="0.25">
      <c r="A31" s="1"/>
      <c r="B31" s="47">
        <f t="shared" si="0"/>
        <v>22</v>
      </c>
      <c r="C31" s="54" t="s">
        <v>18</v>
      </c>
      <c r="D31" s="51" t="s">
        <v>41</v>
      </c>
      <c r="E31" s="51" t="s">
        <v>70</v>
      </c>
      <c r="F31" s="51" t="s">
        <v>93</v>
      </c>
      <c r="G31" s="51" t="s">
        <v>118</v>
      </c>
      <c r="H31" s="51" t="s">
        <v>135</v>
      </c>
      <c r="I31" s="51" t="s">
        <v>185</v>
      </c>
      <c r="J31" s="51" t="s">
        <v>185</v>
      </c>
      <c r="K31" s="51" t="s">
        <v>185</v>
      </c>
      <c r="L31" s="51">
        <v>1</v>
      </c>
      <c r="M31" s="37">
        <f t="shared" si="1"/>
        <v>20</v>
      </c>
      <c r="N31" s="51">
        <v>21</v>
      </c>
      <c r="O31" s="60" t="s">
        <v>210</v>
      </c>
      <c r="P31" s="52">
        <v>2.7</v>
      </c>
      <c r="Q31" s="52">
        <f t="shared" ref="Q31" si="10">P31*N31</f>
        <v>56.7</v>
      </c>
      <c r="R31" s="51"/>
      <c r="S31" s="59"/>
    </row>
    <row r="32" spans="1:19" ht="24" x14ac:dyDescent="0.25">
      <c r="A32" s="1"/>
      <c r="B32" s="46">
        <f>ROW(B32) - ROW($B$9)</f>
        <v>23</v>
      </c>
      <c r="C32" s="53" t="s">
        <v>18</v>
      </c>
      <c r="D32" s="37" t="s">
        <v>42</v>
      </c>
      <c r="E32" s="37" t="s">
        <v>71</v>
      </c>
      <c r="F32" s="37" t="s">
        <v>94</v>
      </c>
      <c r="G32" s="37" t="s">
        <v>119</v>
      </c>
      <c r="H32" s="37" t="s">
        <v>136</v>
      </c>
      <c r="I32" s="37" t="s">
        <v>185</v>
      </c>
      <c r="J32" s="37" t="s">
        <v>158</v>
      </c>
      <c r="K32" s="37" t="s">
        <v>185</v>
      </c>
      <c r="L32" s="37">
        <v>1</v>
      </c>
      <c r="M32" s="37">
        <f t="shared" si="1"/>
        <v>20</v>
      </c>
      <c r="N32" s="37">
        <v>25</v>
      </c>
      <c r="O32" s="60" t="s">
        <v>187</v>
      </c>
      <c r="P32" s="38">
        <v>7.9299999999999995E-2</v>
      </c>
      <c r="Q32" s="38">
        <f>P32*N32</f>
        <v>1.9824999999999999</v>
      </c>
      <c r="R32" s="37"/>
      <c r="S32" s="59"/>
    </row>
    <row r="33" spans="1:19" ht="24" x14ac:dyDescent="0.25">
      <c r="A33" s="1"/>
      <c r="B33" s="47">
        <f t="shared" si="0"/>
        <v>24</v>
      </c>
      <c r="C33" s="54" t="s">
        <v>18</v>
      </c>
      <c r="D33" s="51" t="s">
        <v>43</v>
      </c>
      <c r="E33" s="51" t="s">
        <v>72</v>
      </c>
      <c r="F33" s="51" t="s">
        <v>95</v>
      </c>
      <c r="G33" s="51" t="s">
        <v>181</v>
      </c>
      <c r="H33" s="51" t="s">
        <v>137</v>
      </c>
      <c r="I33" s="51" t="s">
        <v>185</v>
      </c>
      <c r="J33" s="51" t="s">
        <v>182</v>
      </c>
      <c r="K33" s="51" t="s">
        <v>185</v>
      </c>
      <c r="L33" s="51">
        <v>1</v>
      </c>
      <c r="M33" s="37">
        <f t="shared" si="1"/>
        <v>20</v>
      </c>
      <c r="N33" s="51">
        <v>21</v>
      </c>
      <c r="O33" s="61" t="s">
        <v>187</v>
      </c>
      <c r="P33" s="52">
        <v>0.6794</v>
      </c>
      <c r="Q33" s="52">
        <f t="shared" ref="Q33" si="11">P33*N33</f>
        <v>14.2674</v>
      </c>
      <c r="R33" s="51"/>
      <c r="S33" s="59"/>
    </row>
    <row r="34" spans="1:19" ht="24" x14ac:dyDescent="0.25">
      <c r="A34" s="1"/>
      <c r="B34" s="46">
        <f>ROW(B34) - ROW($B$9)</f>
        <v>25</v>
      </c>
      <c r="C34" s="53" t="s">
        <v>18</v>
      </c>
      <c r="D34" s="37" t="s">
        <v>44</v>
      </c>
      <c r="E34" s="37" t="s">
        <v>73</v>
      </c>
      <c r="F34" s="37" t="s">
        <v>96</v>
      </c>
      <c r="G34" s="37" t="s">
        <v>120</v>
      </c>
      <c r="H34" s="37" t="s">
        <v>136</v>
      </c>
      <c r="I34" s="37" t="s">
        <v>185</v>
      </c>
      <c r="J34" s="37" t="s">
        <v>159</v>
      </c>
      <c r="K34" s="37" t="s">
        <v>185</v>
      </c>
      <c r="L34" s="37">
        <v>1</v>
      </c>
      <c r="M34" s="37">
        <f t="shared" si="1"/>
        <v>20</v>
      </c>
      <c r="N34" s="37">
        <v>25</v>
      </c>
      <c r="O34" s="60" t="s">
        <v>187</v>
      </c>
      <c r="P34" s="38">
        <v>0.1444</v>
      </c>
      <c r="Q34" s="38">
        <f>P34*N34</f>
        <v>3.61</v>
      </c>
      <c r="R34" s="37"/>
      <c r="S34" s="59"/>
    </row>
    <row r="35" spans="1:19" ht="24" x14ac:dyDescent="0.25">
      <c r="A35" s="1"/>
      <c r="B35" s="47">
        <f t="shared" si="0"/>
        <v>26</v>
      </c>
      <c r="C35" s="54" t="s">
        <v>18</v>
      </c>
      <c r="D35" s="51" t="s">
        <v>45</v>
      </c>
      <c r="E35" s="51" t="s">
        <v>74</v>
      </c>
      <c r="F35" s="51" t="s">
        <v>97</v>
      </c>
      <c r="G35" s="51" t="s">
        <v>97</v>
      </c>
      <c r="H35" s="51" t="s">
        <v>138</v>
      </c>
      <c r="I35" s="51" t="s">
        <v>185</v>
      </c>
      <c r="J35" s="51" t="s">
        <v>185</v>
      </c>
      <c r="K35" s="51" t="s">
        <v>185</v>
      </c>
      <c r="L35" s="51">
        <v>1</v>
      </c>
      <c r="M35" s="37">
        <f t="shared" si="1"/>
        <v>20</v>
      </c>
      <c r="N35" s="51">
        <v>21</v>
      </c>
      <c r="O35" s="61" t="s">
        <v>210</v>
      </c>
      <c r="P35" s="52">
        <v>18.221</v>
      </c>
      <c r="Q35" s="52">
        <f t="shared" ref="Q35" si="12">P35*N35</f>
        <v>382.64100000000002</v>
      </c>
      <c r="R35" s="51"/>
      <c r="S35" s="59"/>
    </row>
    <row r="36" spans="1:19" ht="24" x14ac:dyDescent="0.25">
      <c r="A36" s="1"/>
      <c r="B36" s="46">
        <f>ROW(B36) - ROW($B$9)</f>
        <v>27</v>
      </c>
      <c r="C36" s="53" t="s">
        <v>18</v>
      </c>
      <c r="D36" s="37" t="s">
        <v>46</v>
      </c>
      <c r="E36" s="37" t="s">
        <v>75</v>
      </c>
      <c r="F36" s="37" t="s">
        <v>98</v>
      </c>
      <c r="G36" s="37" t="s">
        <v>121</v>
      </c>
      <c r="H36" s="37" t="s">
        <v>137</v>
      </c>
      <c r="I36" s="37" t="s">
        <v>185</v>
      </c>
      <c r="J36" s="37" t="s">
        <v>160</v>
      </c>
      <c r="K36" s="37" t="s">
        <v>185</v>
      </c>
      <c r="L36" s="37">
        <v>1</v>
      </c>
      <c r="M36" s="37">
        <f t="shared" si="1"/>
        <v>20</v>
      </c>
      <c r="N36" s="37">
        <v>21</v>
      </c>
      <c r="O36" s="60" t="s">
        <v>187</v>
      </c>
      <c r="P36" s="38">
        <v>0.33260000000000001</v>
      </c>
      <c r="Q36" s="38">
        <f>P36*N36</f>
        <v>6.9846000000000004</v>
      </c>
      <c r="R36" s="37"/>
      <c r="S36" s="59"/>
    </row>
    <row r="37" spans="1:19" ht="24" x14ac:dyDescent="0.25">
      <c r="A37" s="1"/>
      <c r="B37" s="47">
        <f t="shared" si="0"/>
        <v>28</v>
      </c>
      <c r="C37" s="54" t="s">
        <v>18</v>
      </c>
      <c r="D37" s="51" t="s">
        <v>47</v>
      </c>
      <c r="E37" s="51" t="s">
        <v>76</v>
      </c>
      <c r="F37" s="51" t="s">
        <v>99</v>
      </c>
      <c r="G37" s="51" t="s">
        <v>122</v>
      </c>
      <c r="H37" s="51" t="s">
        <v>139</v>
      </c>
      <c r="I37" s="51" t="s">
        <v>185</v>
      </c>
      <c r="J37" s="51" t="s">
        <v>161</v>
      </c>
      <c r="K37" s="51" t="s">
        <v>185</v>
      </c>
      <c r="L37" s="51">
        <v>1</v>
      </c>
      <c r="M37" s="37">
        <f t="shared" si="1"/>
        <v>20</v>
      </c>
      <c r="N37" s="51">
        <v>21</v>
      </c>
      <c r="O37" s="61" t="s">
        <v>187</v>
      </c>
      <c r="P37" s="52">
        <v>2.1604999999999999</v>
      </c>
      <c r="Q37" s="52">
        <f t="shared" ref="Q37" si="13">P37*N37</f>
        <v>45.3705</v>
      </c>
      <c r="R37" s="51"/>
      <c r="S37" s="59"/>
    </row>
    <row r="38" spans="1:19" ht="24.75" thickBot="1" x14ac:dyDescent="0.3">
      <c r="A38" s="1"/>
      <c r="B38" s="46">
        <f>ROW(B38) - ROW($B$9)</f>
        <v>29</v>
      </c>
      <c r="C38" s="53" t="s">
        <v>18</v>
      </c>
      <c r="D38" s="37" t="s">
        <v>48</v>
      </c>
      <c r="E38" s="37" t="s">
        <v>77</v>
      </c>
      <c r="F38" s="37" t="s">
        <v>100</v>
      </c>
      <c r="G38" s="37" t="s">
        <v>123</v>
      </c>
      <c r="H38" s="37" t="s">
        <v>139</v>
      </c>
      <c r="I38" s="37" t="s">
        <v>185</v>
      </c>
      <c r="J38" s="37" t="s">
        <v>162</v>
      </c>
      <c r="K38" s="37" t="s">
        <v>185</v>
      </c>
      <c r="L38" s="37">
        <v>1</v>
      </c>
      <c r="M38" s="37">
        <f t="shared" si="1"/>
        <v>20</v>
      </c>
      <c r="N38" s="37">
        <v>21</v>
      </c>
      <c r="O38" s="60" t="s">
        <v>187</v>
      </c>
      <c r="P38" s="38">
        <v>1.3826000000000001</v>
      </c>
      <c r="Q38" s="38">
        <f>P38*N38</f>
        <v>29.034600000000001</v>
      </c>
      <c r="R38" s="37"/>
      <c r="S38" s="39"/>
    </row>
    <row r="39" spans="1:19" ht="24" x14ac:dyDescent="0.25">
      <c r="A39" s="1"/>
      <c r="B39" s="46">
        <f t="shared" ref="B39:B41" si="14">ROW(B39) - ROW($B$9)</f>
        <v>30</v>
      </c>
      <c r="C39" s="81" t="s">
        <v>203</v>
      </c>
      <c r="D39" s="37" t="s">
        <v>185</v>
      </c>
      <c r="E39" s="82" t="s">
        <v>204</v>
      </c>
      <c r="F39" s="37" t="s">
        <v>185</v>
      </c>
      <c r="G39" s="82" t="s">
        <v>185</v>
      </c>
      <c r="H39" s="37" t="s">
        <v>185</v>
      </c>
      <c r="I39" s="37" t="s">
        <v>185</v>
      </c>
      <c r="J39" s="85" t="s">
        <v>185</v>
      </c>
      <c r="K39" s="91" t="s">
        <v>185</v>
      </c>
      <c r="L39" s="83">
        <v>1</v>
      </c>
      <c r="M39" s="37">
        <f t="shared" si="1"/>
        <v>20</v>
      </c>
      <c r="N39" s="91">
        <v>21</v>
      </c>
      <c r="O39" s="97" t="s">
        <v>208</v>
      </c>
      <c r="P39" s="93">
        <v>3.46</v>
      </c>
      <c r="Q39" s="38">
        <f t="shared" ref="Q39:Q41" si="15">P39*N39</f>
        <v>72.66</v>
      </c>
      <c r="R39" s="91"/>
      <c r="S39" s="91"/>
    </row>
    <row r="40" spans="1:19" ht="60" x14ac:dyDescent="0.25">
      <c r="A40" s="1"/>
      <c r="B40" s="46">
        <f t="shared" si="14"/>
        <v>31</v>
      </c>
      <c r="C40" s="81" t="s">
        <v>203</v>
      </c>
      <c r="D40" s="37" t="s">
        <v>185</v>
      </c>
      <c r="E40" s="82" t="s">
        <v>205</v>
      </c>
      <c r="F40" s="37" t="s">
        <v>185</v>
      </c>
      <c r="G40" s="82" t="s">
        <v>185</v>
      </c>
      <c r="H40" s="37" t="s">
        <v>185</v>
      </c>
      <c r="I40" s="37" t="s">
        <v>185</v>
      </c>
      <c r="J40" s="85" t="s">
        <v>185</v>
      </c>
      <c r="K40" s="51" t="s">
        <v>185</v>
      </c>
      <c r="L40" s="83">
        <v>1</v>
      </c>
      <c r="M40" s="37">
        <f t="shared" si="1"/>
        <v>20</v>
      </c>
      <c r="N40" s="51">
        <v>21</v>
      </c>
      <c r="O40" s="98" t="s">
        <v>208</v>
      </c>
      <c r="P40" s="52">
        <v>3.15</v>
      </c>
      <c r="Q40" s="38">
        <f t="shared" si="15"/>
        <v>66.149999999999991</v>
      </c>
      <c r="R40" s="51"/>
      <c r="S40" s="51"/>
    </row>
    <row r="41" spans="1:19" ht="48.75" thickBot="1" x14ac:dyDescent="0.3">
      <c r="A41" s="1"/>
      <c r="B41" s="46">
        <f t="shared" si="14"/>
        <v>32</v>
      </c>
      <c r="C41" s="81" t="s">
        <v>203</v>
      </c>
      <c r="D41" s="37"/>
      <c r="E41" s="82" t="s">
        <v>206</v>
      </c>
      <c r="F41" s="37" t="s">
        <v>185</v>
      </c>
      <c r="G41" s="82" t="s">
        <v>207</v>
      </c>
      <c r="H41" s="37" t="s">
        <v>185</v>
      </c>
      <c r="I41" s="37" t="s">
        <v>185</v>
      </c>
      <c r="J41" s="85" t="s">
        <v>185</v>
      </c>
      <c r="K41" s="39" t="s">
        <v>185</v>
      </c>
      <c r="L41" s="83">
        <v>1</v>
      </c>
      <c r="M41" s="37">
        <f t="shared" si="1"/>
        <v>20</v>
      </c>
      <c r="N41" s="39">
        <v>1</v>
      </c>
      <c r="O41" s="99" t="s">
        <v>209</v>
      </c>
      <c r="P41" s="94">
        <v>33.950000000000003</v>
      </c>
      <c r="Q41" s="38">
        <f t="shared" si="15"/>
        <v>33.950000000000003</v>
      </c>
      <c r="R41" s="39"/>
      <c r="S41" s="39"/>
    </row>
    <row r="42" spans="1:19" ht="19.5" thickBot="1" x14ac:dyDescent="0.3">
      <c r="A42" s="1"/>
      <c r="B42" s="40"/>
      <c r="C42" s="41"/>
      <c r="D42" s="42"/>
      <c r="E42" s="43"/>
      <c r="F42" s="44"/>
      <c r="G42" s="45"/>
      <c r="H42" s="44"/>
      <c r="I42" s="45"/>
      <c r="J42" s="44"/>
      <c r="K42" s="45"/>
      <c r="L42" s="45"/>
      <c r="M42" s="45"/>
      <c r="N42" s="78" t="s">
        <v>5</v>
      </c>
      <c r="O42" s="79"/>
      <c r="P42" s="79"/>
      <c r="Q42" s="48">
        <f>SUM(Q10:Q38)</f>
        <v>599.33190000000002</v>
      </c>
      <c r="R42" s="74"/>
      <c r="S42" s="75"/>
    </row>
    <row r="43" spans="1:19" ht="19.5" thickBot="1" x14ac:dyDescent="0.3">
      <c r="A43" s="1"/>
      <c r="B43" s="25"/>
      <c r="C43" s="36"/>
      <c r="D43" s="9"/>
      <c r="E43" s="10"/>
      <c r="F43" s="10"/>
      <c r="G43" s="10"/>
      <c r="H43" s="10"/>
      <c r="I43" s="10"/>
      <c r="J43" s="10"/>
      <c r="K43" s="10"/>
      <c r="L43" s="10"/>
      <c r="M43" s="10"/>
      <c r="N43" s="78" t="s">
        <v>6</v>
      </c>
      <c r="O43" s="79"/>
      <c r="P43" s="79"/>
      <c r="Q43" s="49">
        <f>Q42/20</f>
        <v>29.966595000000002</v>
      </c>
      <c r="R43" s="76"/>
      <c r="S43" s="77"/>
    </row>
  </sheetData>
  <mergeCells count="5">
    <mergeCell ref="K1:S1"/>
    <mergeCell ref="S3:S8"/>
    <mergeCell ref="N42:P42"/>
    <mergeCell ref="R42:S43"/>
    <mergeCell ref="N43:P43"/>
  </mergeCells>
  <hyperlinks>
    <hyperlink ref="O10" r:id="rId1"/>
    <hyperlink ref="O11" r:id="rId2"/>
    <hyperlink ref="O13" r:id="rId3"/>
    <hyperlink ref="O14" r:id="rId4"/>
    <hyperlink ref="O15" r:id="rId5"/>
    <hyperlink ref="O16" r:id="rId6"/>
    <hyperlink ref="O21" r:id="rId7"/>
    <hyperlink ref="O22" r:id="rId8"/>
    <hyperlink ref="O23" r:id="rId9"/>
    <hyperlink ref="O24" r:id="rId10"/>
    <hyperlink ref="O25" r:id="rId11"/>
    <hyperlink ref="O26" r:id="rId12"/>
    <hyperlink ref="O27" r:id="rId13"/>
    <hyperlink ref="O28" r:id="rId14"/>
    <hyperlink ref="O29" r:id="rId15"/>
    <hyperlink ref="O30" r:id="rId16"/>
    <hyperlink ref="O32" r:id="rId17"/>
    <hyperlink ref="O33" r:id="rId18"/>
    <hyperlink ref="O34" r:id="rId19"/>
    <hyperlink ref="O36" r:id="rId20"/>
    <hyperlink ref="O37" r:id="rId21"/>
    <hyperlink ref="O38" r:id="rId22"/>
    <hyperlink ref="O12" r:id="rId23"/>
    <hyperlink ref="O41" r:id="rId24"/>
    <hyperlink ref="O40" r:id="rId25"/>
    <hyperlink ref="O39" r:id="rId26"/>
    <hyperlink ref="O35" r:id="rId27"/>
    <hyperlink ref="O18" r:id="rId28" location="nav-specification"/>
  </hyperlinks>
  <pageMargins left="0.7" right="0.7" top="0.75" bottom="0.75" header="0.3" footer="0.3"/>
  <drawing r:id="rId2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3"/>
  <sheetViews>
    <sheetView tabSelected="1" topLeftCell="G1" workbookViewId="0">
      <selection activeCell="X39" sqref="X39"/>
    </sheetView>
  </sheetViews>
  <sheetFormatPr defaultRowHeight="15" x14ac:dyDescent="0.25"/>
  <cols>
    <col min="2" max="2" width="3" bestFit="1" customWidth="1"/>
    <col min="3" max="3" width="9.85546875" bestFit="1" customWidth="1"/>
    <col min="4" max="4" width="31.140625" bestFit="1" customWidth="1"/>
    <col min="5" max="5" width="23.42578125" customWidth="1"/>
    <col min="6" max="6" width="15.5703125" customWidth="1"/>
    <col min="7" max="7" width="25.28515625" bestFit="1" customWidth="1"/>
    <col min="8" max="8" width="13.285156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8.28515625" bestFit="1" customWidth="1"/>
    <col min="14" max="14" width="15.5703125" bestFit="1" customWidth="1"/>
    <col min="15" max="15" width="11.7109375" bestFit="1" customWidth="1"/>
    <col min="16" max="16" width="18.7109375" bestFit="1" customWidth="1"/>
    <col min="17" max="17" width="19.28515625" bestFit="1" customWidth="1"/>
    <col min="18" max="18" width="8.5703125" bestFit="1" customWidth="1"/>
    <col min="19" max="19" width="26.85546875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70"/>
      <c r="L1" s="70"/>
      <c r="M1" s="70"/>
      <c r="N1" s="70"/>
      <c r="O1" s="70"/>
      <c r="P1" s="70"/>
      <c r="Q1" s="70"/>
      <c r="R1" s="70"/>
      <c r="S1" s="71"/>
    </row>
    <row r="2" spans="1:19" ht="32.25" thickBot="1" x14ac:dyDescent="0.3">
      <c r="A2" s="1"/>
      <c r="B2" s="21"/>
      <c r="C2" s="31"/>
      <c r="D2" s="11" t="s">
        <v>0</v>
      </c>
      <c r="E2" s="11"/>
      <c r="F2" s="55" t="s">
        <v>183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6" t="s">
        <v>184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72"/>
    </row>
    <row r="4" spans="1:19" x14ac:dyDescent="0.25">
      <c r="A4" s="1"/>
      <c r="B4" s="22"/>
      <c r="C4" s="32"/>
      <c r="D4" s="13" t="s">
        <v>2</v>
      </c>
      <c r="E4" s="13"/>
      <c r="F4" s="57" t="s">
        <v>184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73"/>
    </row>
    <row r="5" spans="1:19" x14ac:dyDescent="0.25">
      <c r="A5" s="1"/>
      <c r="B5" s="22"/>
      <c r="C5" s="32"/>
      <c r="D5" s="13" t="s">
        <v>3</v>
      </c>
      <c r="E5" s="13"/>
      <c r="F5" s="58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73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73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73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73"/>
    </row>
    <row r="9" spans="1:19" ht="15.75" thickBot="1" x14ac:dyDescent="0.3">
      <c r="A9" s="1"/>
      <c r="B9" s="30" t="s">
        <v>4</v>
      </c>
      <c r="C9" s="30" t="s">
        <v>8</v>
      </c>
      <c r="D9" s="30" t="s">
        <v>19</v>
      </c>
      <c r="E9" s="30" t="s">
        <v>49</v>
      </c>
      <c r="F9" s="30" t="s">
        <v>78</v>
      </c>
      <c r="G9" s="30" t="s">
        <v>101</v>
      </c>
      <c r="H9" s="30" t="s">
        <v>124</v>
      </c>
      <c r="I9" s="30" t="s">
        <v>176</v>
      </c>
      <c r="J9" s="30" t="s">
        <v>140</v>
      </c>
      <c r="K9" s="30" t="s">
        <v>177</v>
      </c>
      <c r="L9" s="30" t="s">
        <v>175</v>
      </c>
      <c r="M9" s="30" t="s">
        <v>199</v>
      </c>
      <c r="N9" s="30" t="s">
        <v>200</v>
      </c>
      <c r="O9" s="30" t="s">
        <v>178</v>
      </c>
      <c r="P9" s="107" t="s">
        <v>201</v>
      </c>
      <c r="Q9" s="30" t="s">
        <v>202</v>
      </c>
      <c r="R9" s="111" t="s">
        <v>179</v>
      </c>
      <c r="S9" s="30" t="s">
        <v>180</v>
      </c>
    </row>
    <row r="10" spans="1:19" x14ac:dyDescent="0.25">
      <c r="A10" s="1"/>
      <c r="B10" s="46">
        <f>ROW(B10) - ROW($B$9)</f>
        <v>1</v>
      </c>
      <c r="C10" s="54" t="s">
        <v>9</v>
      </c>
      <c r="D10" s="37" t="s">
        <v>20</v>
      </c>
      <c r="E10" s="37" t="s">
        <v>50</v>
      </c>
      <c r="F10" s="37" t="s">
        <v>79</v>
      </c>
      <c r="G10" s="37" t="s">
        <v>102</v>
      </c>
      <c r="H10" s="37" t="s">
        <v>125</v>
      </c>
      <c r="I10" s="37" t="s">
        <v>185</v>
      </c>
      <c r="J10" s="37" t="s">
        <v>141</v>
      </c>
      <c r="K10" s="37" t="s">
        <v>163</v>
      </c>
      <c r="L10" s="37">
        <v>6</v>
      </c>
      <c r="M10" s="37">
        <f>L10*50</f>
        <v>300</v>
      </c>
      <c r="N10" s="37">
        <v>400</v>
      </c>
      <c r="O10" s="60" t="s">
        <v>187</v>
      </c>
      <c r="P10" s="108">
        <v>1.1000000000000001E-3</v>
      </c>
      <c r="Q10" s="38">
        <f>P10*N10</f>
        <v>0.44</v>
      </c>
      <c r="R10" s="83"/>
      <c r="S10" s="50"/>
    </row>
    <row r="11" spans="1:19" x14ac:dyDescent="0.25">
      <c r="A11" s="1"/>
      <c r="B11" s="47">
        <f t="shared" ref="B11:B37" si="0">ROW(B11) - ROW($B$9)</f>
        <v>2</v>
      </c>
      <c r="C11" s="54" t="s">
        <v>9</v>
      </c>
      <c r="D11" s="51" t="s">
        <v>21</v>
      </c>
      <c r="E11" s="51" t="s">
        <v>51</v>
      </c>
      <c r="F11" s="51" t="s">
        <v>80</v>
      </c>
      <c r="G11" s="51" t="s">
        <v>103</v>
      </c>
      <c r="H11" s="51" t="s">
        <v>126</v>
      </c>
      <c r="I11" s="51" t="s">
        <v>185</v>
      </c>
      <c r="J11" s="51" t="s">
        <v>142</v>
      </c>
      <c r="K11" s="51" t="s">
        <v>164</v>
      </c>
      <c r="L11" s="51">
        <v>1</v>
      </c>
      <c r="M11" s="37">
        <f t="shared" ref="M11:M41" si="1">L11*50</f>
        <v>50</v>
      </c>
      <c r="N11" s="51">
        <v>100</v>
      </c>
      <c r="O11" s="61" t="s">
        <v>187</v>
      </c>
      <c r="P11" s="102">
        <v>1.09E-2</v>
      </c>
      <c r="Q11" s="52">
        <f t="shared" ref="Q11" si="2">P11*N11</f>
        <v>1.0900000000000001</v>
      </c>
      <c r="R11" s="105"/>
      <c r="S11" s="51"/>
    </row>
    <row r="12" spans="1:19" x14ac:dyDescent="0.25">
      <c r="A12" s="1"/>
      <c r="B12" s="46">
        <f>ROW(B12) - ROW($B$9)</f>
        <v>3</v>
      </c>
      <c r="C12" s="53" t="s">
        <v>9</v>
      </c>
      <c r="D12" s="37" t="s">
        <v>22</v>
      </c>
      <c r="E12" s="37" t="s">
        <v>52</v>
      </c>
      <c r="F12" s="37" t="s">
        <v>81</v>
      </c>
      <c r="G12" s="66" t="s">
        <v>104</v>
      </c>
      <c r="H12" s="37" t="s">
        <v>125</v>
      </c>
      <c r="I12" s="37" t="s">
        <v>189</v>
      </c>
      <c r="J12" s="37" t="s">
        <v>190</v>
      </c>
      <c r="K12" s="37" t="s">
        <v>165</v>
      </c>
      <c r="L12" s="37">
        <v>1</v>
      </c>
      <c r="M12" s="37">
        <f t="shared" si="1"/>
        <v>50</v>
      </c>
      <c r="N12" s="37">
        <v>100</v>
      </c>
      <c r="O12" s="60" t="s">
        <v>187</v>
      </c>
      <c r="P12" s="108">
        <v>1.35E-2</v>
      </c>
      <c r="Q12" s="38">
        <f>P12*N12</f>
        <v>1.35</v>
      </c>
      <c r="R12" s="83"/>
      <c r="S12" s="59"/>
    </row>
    <row r="13" spans="1:19" x14ac:dyDescent="0.25">
      <c r="A13" s="1"/>
      <c r="B13" s="47">
        <f t="shared" si="0"/>
        <v>4</v>
      </c>
      <c r="C13" s="54" t="s">
        <v>9</v>
      </c>
      <c r="D13" s="51" t="s">
        <v>23</v>
      </c>
      <c r="E13" s="51" t="s">
        <v>53</v>
      </c>
      <c r="F13" s="51" t="s">
        <v>79</v>
      </c>
      <c r="G13" s="51" t="s">
        <v>105</v>
      </c>
      <c r="H13" s="51" t="s">
        <v>125</v>
      </c>
      <c r="I13" s="51" t="s">
        <v>185</v>
      </c>
      <c r="J13" s="51" t="s">
        <v>143</v>
      </c>
      <c r="K13" s="51" t="s">
        <v>166</v>
      </c>
      <c r="L13" s="51">
        <v>1</v>
      </c>
      <c r="M13" s="37">
        <f t="shared" si="1"/>
        <v>50</v>
      </c>
      <c r="N13" s="51">
        <v>100</v>
      </c>
      <c r="O13" s="61" t="s">
        <v>187</v>
      </c>
      <c r="P13" s="102">
        <v>5.3E-3</v>
      </c>
      <c r="Q13" s="52">
        <f t="shared" ref="Q13" si="3">P13*N13</f>
        <v>0.53</v>
      </c>
      <c r="R13" s="105"/>
      <c r="S13" s="59"/>
    </row>
    <row r="14" spans="1:19" x14ac:dyDescent="0.25">
      <c r="A14" s="1"/>
      <c r="B14" s="46">
        <f>ROW(B14) - ROW($B$9)</f>
        <v>5</v>
      </c>
      <c r="C14" s="53" t="s">
        <v>9</v>
      </c>
      <c r="D14" s="37" t="s">
        <v>24</v>
      </c>
      <c r="E14" s="37" t="s">
        <v>54</v>
      </c>
      <c r="F14" s="37" t="s">
        <v>79</v>
      </c>
      <c r="G14" s="37" t="s">
        <v>106</v>
      </c>
      <c r="H14" s="37" t="s">
        <v>125</v>
      </c>
      <c r="I14" s="37" t="s">
        <v>185</v>
      </c>
      <c r="J14" s="37" t="s">
        <v>144</v>
      </c>
      <c r="K14" s="37" t="s">
        <v>167</v>
      </c>
      <c r="L14" s="37">
        <v>1</v>
      </c>
      <c r="M14" s="37">
        <f t="shared" si="1"/>
        <v>50</v>
      </c>
      <c r="N14" s="37">
        <v>60</v>
      </c>
      <c r="O14" s="60" t="s">
        <v>187</v>
      </c>
      <c r="P14" s="108">
        <v>3.44E-2</v>
      </c>
      <c r="Q14" s="38">
        <f>P14*N14</f>
        <v>2.0640000000000001</v>
      </c>
      <c r="R14" s="83"/>
      <c r="S14" s="59"/>
    </row>
    <row r="15" spans="1:19" ht="24" x14ac:dyDescent="0.25">
      <c r="A15" s="1"/>
      <c r="B15" s="47">
        <f t="shared" si="0"/>
        <v>6</v>
      </c>
      <c r="C15" s="54" t="s">
        <v>9</v>
      </c>
      <c r="D15" s="51" t="s">
        <v>25</v>
      </c>
      <c r="E15" s="51" t="s">
        <v>55</v>
      </c>
      <c r="F15" s="51" t="s">
        <v>188</v>
      </c>
      <c r="G15" s="51" t="s">
        <v>82</v>
      </c>
      <c r="H15" s="51" t="s">
        <v>127</v>
      </c>
      <c r="I15" s="51" t="s">
        <v>185</v>
      </c>
      <c r="J15" s="51" t="s">
        <v>145</v>
      </c>
      <c r="K15" s="51" t="s">
        <v>168</v>
      </c>
      <c r="L15" s="51">
        <v>1</v>
      </c>
      <c r="M15" s="37">
        <f t="shared" si="1"/>
        <v>50</v>
      </c>
      <c r="N15" s="51">
        <v>51</v>
      </c>
      <c r="O15" s="61" t="s">
        <v>187</v>
      </c>
      <c r="P15" s="102">
        <v>0.45979999999999999</v>
      </c>
      <c r="Q15" s="52">
        <f t="shared" ref="Q15" si="4">P15*N15</f>
        <v>23.4498</v>
      </c>
      <c r="R15" s="105"/>
      <c r="S15" s="59"/>
    </row>
    <row r="16" spans="1:19" x14ac:dyDescent="0.25">
      <c r="A16" s="1"/>
      <c r="B16" s="46">
        <f>ROW(B16) - ROW($B$9)</f>
        <v>7</v>
      </c>
      <c r="C16" s="53" t="s">
        <v>9</v>
      </c>
      <c r="D16" s="37" t="s">
        <v>26</v>
      </c>
      <c r="E16" s="37" t="s">
        <v>56</v>
      </c>
      <c r="F16" s="37" t="s">
        <v>79</v>
      </c>
      <c r="G16" s="37" t="s">
        <v>107</v>
      </c>
      <c r="H16" s="37" t="s">
        <v>125</v>
      </c>
      <c r="I16" s="37" t="s">
        <v>185</v>
      </c>
      <c r="J16" s="37" t="s">
        <v>146</v>
      </c>
      <c r="K16" s="37" t="s">
        <v>166</v>
      </c>
      <c r="L16" s="37">
        <v>1</v>
      </c>
      <c r="M16" s="37">
        <f t="shared" si="1"/>
        <v>50</v>
      </c>
      <c r="N16" s="37">
        <v>60</v>
      </c>
      <c r="O16" s="60" t="s">
        <v>187</v>
      </c>
      <c r="P16" s="108">
        <v>6.3100000000000003E-2</v>
      </c>
      <c r="Q16" s="38">
        <f>P16*N16</f>
        <v>3.786</v>
      </c>
      <c r="R16" s="83"/>
      <c r="S16" s="59"/>
    </row>
    <row r="17" spans="1:19" x14ac:dyDescent="0.25">
      <c r="A17" s="1"/>
      <c r="B17" s="47">
        <f t="shared" si="0"/>
        <v>8</v>
      </c>
      <c r="C17" s="62" t="s">
        <v>10</v>
      </c>
      <c r="D17" s="63" t="s">
        <v>27</v>
      </c>
      <c r="E17" s="63" t="s">
        <v>57</v>
      </c>
      <c r="F17" s="63" t="s">
        <v>188</v>
      </c>
      <c r="G17" s="63" t="s">
        <v>83</v>
      </c>
      <c r="H17" s="63" t="s">
        <v>185</v>
      </c>
      <c r="I17" s="63" t="s">
        <v>185</v>
      </c>
      <c r="J17" s="63" t="s">
        <v>185</v>
      </c>
      <c r="K17" s="63" t="s">
        <v>185</v>
      </c>
      <c r="L17" s="63">
        <v>4</v>
      </c>
      <c r="M17" s="63">
        <f t="shared" si="1"/>
        <v>200</v>
      </c>
      <c r="N17" s="63" t="s">
        <v>185</v>
      </c>
      <c r="O17" s="63" t="s">
        <v>185</v>
      </c>
      <c r="P17" s="109" t="s">
        <v>185</v>
      </c>
      <c r="Q17" s="64" t="s">
        <v>185</v>
      </c>
      <c r="R17" s="112"/>
      <c r="S17" s="65"/>
    </row>
    <row r="18" spans="1:19" ht="36" x14ac:dyDescent="0.25">
      <c r="A18" s="1"/>
      <c r="B18" s="46">
        <f>ROW(B18) - ROW($B$9)</f>
        <v>9</v>
      </c>
      <c r="C18" s="53" t="s">
        <v>11</v>
      </c>
      <c r="D18" s="37" t="s">
        <v>28</v>
      </c>
      <c r="E18" s="37" t="s">
        <v>58</v>
      </c>
      <c r="F18" s="37" t="s">
        <v>84</v>
      </c>
      <c r="G18" s="37" t="s">
        <v>84</v>
      </c>
      <c r="H18" s="37" t="s">
        <v>128</v>
      </c>
      <c r="I18" s="37" t="s">
        <v>185</v>
      </c>
      <c r="J18" s="37" t="s">
        <v>185</v>
      </c>
      <c r="K18" s="37" t="s">
        <v>185</v>
      </c>
      <c r="L18" s="37">
        <v>1</v>
      </c>
      <c r="M18" s="37">
        <f t="shared" si="1"/>
        <v>50</v>
      </c>
      <c r="N18" s="37">
        <v>51</v>
      </c>
      <c r="O18" s="60" t="s">
        <v>208</v>
      </c>
      <c r="P18" s="38">
        <v>0.68</v>
      </c>
      <c r="Q18" s="38">
        <f>P18*N18</f>
        <v>34.68</v>
      </c>
      <c r="R18" s="83"/>
      <c r="S18" s="59"/>
    </row>
    <row r="19" spans="1:19" ht="24" x14ac:dyDescent="0.25">
      <c r="A19" s="1"/>
      <c r="B19" s="47">
        <f t="shared" si="0"/>
        <v>10</v>
      </c>
      <c r="C19" s="62" t="s">
        <v>12</v>
      </c>
      <c r="D19" s="63" t="s">
        <v>29</v>
      </c>
      <c r="E19" s="63" t="s">
        <v>59</v>
      </c>
      <c r="F19" s="63" t="s">
        <v>85</v>
      </c>
      <c r="G19" s="63" t="s">
        <v>108</v>
      </c>
      <c r="H19" s="63" t="s">
        <v>185</v>
      </c>
      <c r="I19" s="63" t="s">
        <v>185</v>
      </c>
      <c r="J19" s="63" t="s">
        <v>185</v>
      </c>
      <c r="K19" s="63" t="s">
        <v>185</v>
      </c>
      <c r="L19" s="63">
        <v>1</v>
      </c>
      <c r="M19" s="37">
        <f t="shared" si="1"/>
        <v>50</v>
      </c>
      <c r="N19" s="63" t="s">
        <v>185</v>
      </c>
      <c r="O19" s="63" t="s">
        <v>185</v>
      </c>
      <c r="P19" s="109" t="s">
        <v>185</v>
      </c>
      <c r="Q19" s="64" t="s">
        <v>185</v>
      </c>
      <c r="R19" s="105"/>
      <c r="S19" s="59"/>
    </row>
    <row r="20" spans="1:19" x14ac:dyDescent="0.25">
      <c r="A20" s="1"/>
      <c r="B20" s="46">
        <f>ROW(B20) - ROW($B$9)</f>
        <v>11</v>
      </c>
      <c r="C20" s="67" t="s">
        <v>186</v>
      </c>
      <c r="D20" s="66" t="s">
        <v>30</v>
      </c>
      <c r="E20" s="66" t="s">
        <v>185</v>
      </c>
      <c r="F20" s="66" t="s">
        <v>86</v>
      </c>
      <c r="G20" s="66" t="s">
        <v>185</v>
      </c>
      <c r="H20" s="66" t="s">
        <v>185</v>
      </c>
      <c r="I20" s="66" t="s">
        <v>185</v>
      </c>
      <c r="J20" s="66" t="s">
        <v>185</v>
      </c>
      <c r="K20" s="66" t="s">
        <v>185</v>
      </c>
      <c r="L20" s="66">
        <v>1</v>
      </c>
      <c r="M20" s="66">
        <f t="shared" si="1"/>
        <v>50</v>
      </c>
      <c r="N20" s="66" t="s">
        <v>185</v>
      </c>
      <c r="O20" s="66" t="s">
        <v>185</v>
      </c>
      <c r="P20" s="110" t="s">
        <v>185</v>
      </c>
      <c r="Q20" s="68" t="s">
        <v>185</v>
      </c>
      <c r="R20" s="113"/>
      <c r="S20" s="65"/>
    </row>
    <row r="21" spans="1:19" ht="24" x14ac:dyDescent="0.25">
      <c r="A21" s="1"/>
      <c r="B21" s="47">
        <f t="shared" si="0"/>
        <v>12</v>
      </c>
      <c r="C21" s="54" t="s">
        <v>13</v>
      </c>
      <c r="D21" s="51" t="s">
        <v>31</v>
      </c>
      <c r="E21" s="51" t="s">
        <v>60</v>
      </c>
      <c r="F21" s="51" t="s">
        <v>87</v>
      </c>
      <c r="G21" s="51" t="s">
        <v>109</v>
      </c>
      <c r="H21" s="51" t="s">
        <v>129</v>
      </c>
      <c r="I21" s="51" t="s">
        <v>185</v>
      </c>
      <c r="J21" s="51" t="s">
        <v>147</v>
      </c>
      <c r="K21" s="51" t="s">
        <v>169</v>
      </c>
      <c r="L21" s="51">
        <v>1</v>
      </c>
      <c r="M21" s="37">
        <f t="shared" si="1"/>
        <v>50</v>
      </c>
      <c r="N21" s="51">
        <v>55</v>
      </c>
      <c r="O21" s="61" t="s">
        <v>187</v>
      </c>
      <c r="P21" s="102">
        <v>7.0699999999999999E-2</v>
      </c>
      <c r="Q21" s="52">
        <f t="shared" ref="Q21" si="5">P21*N21</f>
        <v>3.8885000000000001</v>
      </c>
      <c r="R21" s="105"/>
      <c r="S21" s="59"/>
    </row>
    <row r="22" spans="1:19" ht="48" x14ac:dyDescent="0.25">
      <c r="A22" s="1"/>
      <c r="B22" s="46">
        <f>ROW(B22) - ROW($B$9)</f>
        <v>13</v>
      </c>
      <c r="C22" s="53" t="s">
        <v>14</v>
      </c>
      <c r="D22" s="37" t="s">
        <v>32</v>
      </c>
      <c r="E22" s="37" t="s">
        <v>61</v>
      </c>
      <c r="F22" s="37" t="s">
        <v>188</v>
      </c>
      <c r="G22" s="37" t="s">
        <v>88</v>
      </c>
      <c r="H22" s="37" t="s">
        <v>130</v>
      </c>
      <c r="I22" s="37" t="s">
        <v>185</v>
      </c>
      <c r="J22" s="37" t="s">
        <v>148</v>
      </c>
      <c r="K22" s="37" t="s">
        <v>185</v>
      </c>
      <c r="L22" s="37">
        <v>1</v>
      </c>
      <c r="M22" s="37">
        <f t="shared" si="1"/>
        <v>50</v>
      </c>
      <c r="N22" s="37">
        <v>60</v>
      </c>
      <c r="O22" s="60" t="s">
        <v>187</v>
      </c>
      <c r="P22" s="108">
        <v>5.6099999999999997E-2</v>
      </c>
      <c r="Q22" s="38">
        <f>P22*N22</f>
        <v>3.3659999999999997</v>
      </c>
      <c r="R22" s="83"/>
      <c r="S22" s="59"/>
    </row>
    <row r="23" spans="1:19" ht="72" x14ac:dyDescent="0.25">
      <c r="A23" s="1"/>
      <c r="B23" s="47">
        <f t="shared" si="0"/>
        <v>14</v>
      </c>
      <c r="C23" s="54" t="s">
        <v>15</v>
      </c>
      <c r="D23" s="51" t="s">
        <v>33</v>
      </c>
      <c r="E23" s="51" t="s">
        <v>62</v>
      </c>
      <c r="F23" s="51" t="s">
        <v>89</v>
      </c>
      <c r="G23" s="51" t="s">
        <v>110</v>
      </c>
      <c r="H23" s="51" t="s">
        <v>131</v>
      </c>
      <c r="I23" s="51" t="s">
        <v>185</v>
      </c>
      <c r="J23" s="51" t="s">
        <v>149</v>
      </c>
      <c r="K23" s="51" t="s">
        <v>185</v>
      </c>
      <c r="L23" s="51">
        <v>1</v>
      </c>
      <c r="M23" s="37">
        <f t="shared" si="1"/>
        <v>50</v>
      </c>
      <c r="N23" s="51">
        <v>60</v>
      </c>
      <c r="O23" s="61" t="s">
        <v>187</v>
      </c>
      <c r="P23" s="102">
        <v>3.3500000000000002E-2</v>
      </c>
      <c r="Q23" s="52">
        <f t="shared" ref="Q23" si="6">P23*N23</f>
        <v>2.0100000000000002</v>
      </c>
      <c r="R23" s="105"/>
      <c r="S23" s="59"/>
    </row>
    <row r="24" spans="1:19" ht="24" x14ac:dyDescent="0.25">
      <c r="A24" s="1"/>
      <c r="B24" s="46">
        <f>ROW(B24) - ROW($B$9)</f>
        <v>15</v>
      </c>
      <c r="C24" s="54" t="s">
        <v>16</v>
      </c>
      <c r="D24" s="37" t="s">
        <v>34</v>
      </c>
      <c r="E24" s="37" t="s">
        <v>63</v>
      </c>
      <c r="F24" s="37" t="s">
        <v>90</v>
      </c>
      <c r="G24" s="37" t="s">
        <v>111</v>
      </c>
      <c r="H24" s="37" t="s">
        <v>125</v>
      </c>
      <c r="I24" s="37" t="s">
        <v>185</v>
      </c>
      <c r="J24" s="37" t="s">
        <v>150</v>
      </c>
      <c r="K24" s="37" t="s">
        <v>170</v>
      </c>
      <c r="L24" s="37">
        <v>5</v>
      </c>
      <c r="M24" s="37">
        <f t="shared" si="1"/>
        <v>250</v>
      </c>
      <c r="N24" s="37">
        <v>300</v>
      </c>
      <c r="O24" s="60" t="s">
        <v>187</v>
      </c>
      <c r="P24" s="108">
        <v>8.0000000000000004E-4</v>
      </c>
      <c r="Q24" s="38">
        <f>P24*N24</f>
        <v>0.24000000000000002</v>
      </c>
      <c r="R24" s="83"/>
      <c r="S24" s="59"/>
    </row>
    <row r="25" spans="1:19" ht="48" x14ac:dyDescent="0.25">
      <c r="A25" s="1"/>
      <c r="B25" s="47">
        <f t="shared" si="0"/>
        <v>16</v>
      </c>
      <c r="C25" s="54" t="s">
        <v>16</v>
      </c>
      <c r="D25" s="51" t="s">
        <v>35</v>
      </c>
      <c r="E25" s="51" t="s">
        <v>64</v>
      </c>
      <c r="F25" s="51" t="s">
        <v>90</v>
      </c>
      <c r="G25" s="51" t="s">
        <v>112</v>
      </c>
      <c r="H25" s="51" t="s">
        <v>132</v>
      </c>
      <c r="I25" s="51" t="s">
        <v>185</v>
      </c>
      <c r="J25" s="51" t="s">
        <v>151</v>
      </c>
      <c r="K25" s="51" t="s">
        <v>171</v>
      </c>
      <c r="L25" s="51">
        <v>1</v>
      </c>
      <c r="M25" s="37">
        <f t="shared" si="1"/>
        <v>50</v>
      </c>
      <c r="N25" s="51">
        <v>100</v>
      </c>
      <c r="O25" s="61" t="s">
        <v>187</v>
      </c>
      <c r="P25" s="102">
        <v>8.0000000000000004E-4</v>
      </c>
      <c r="Q25" s="52">
        <f t="shared" ref="Q25" si="7">P25*N25</f>
        <v>0.08</v>
      </c>
      <c r="R25" s="105"/>
      <c r="S25" s="59"/>
    </row>
    <row r="26" spans="1:19" ht="48" x14ac:dyDescent="0.25">
      <c r="A26" s="1"/>
      <c r="B26" s="46">
        <f>ROW(B26) - ROW($B$9)</f>
        <v>17</v>
      </c>
      <c r="C26" s="53" t="s">
        <v>16</v>
      </c>
      <c r="D26" s="37" t="s">
        <v>36</v>
      </c>
      <c r="E26" s="37" t="s">
        <v>65</v>
      </c>
      <c r="F26" s="37" t="s">
        <v>90</v>
      </c>
      <c r="G26" s="37" t="s">
        <v>113</v>
      </c>
      <c r="H26" s="37" t="s">
        <v>132</v>
      </c>
      <c r="I26" s="37" t="s">
        <v>185</v>
      </c>
      <c r="J26" s="37" t="s">
        <v>152</v>
      </c>
      <c r="K26" s="37" t="s">
        <v>172</v>
      </c>
      <c r="L26" s="37">
        <v>1</v>
      </c>
      <c r="M26" s="37">
        <f t="shared" si="1"/>
        <v>50</v>
      </c>
      <c r="N26" s="37">
        <v>100</v>
      </c>
      <c r="O26" s="60" t="s">
        <v>187</v>
      </c>
      <c r="P26" s="108">
        <v>6.9999999999999999E-4</v>
      </c>
      <c r="Q26" s="38">
        <f>P26*N26</f>
        <v>6.9999999999999993E-2</v>
      </c>
      <c r="R26" s="83"/>
      <c r="S26" s="59"/>
    </row>
    <row r="27" spans="1:19" ht="48" x14ac:dyDescent="0.25">
      <c r="A27" s="1"/>
      <c r="B27" s="47">
        <f t="shared" si="0"/>
        <v>18</v>
      </c>
      <c r="C27" s="54" t="s">
        <v>16</v>
      </c>
      <c r="D27" s="51" t="s">
        <v>37</v>
      </c>
      <c r="E27" s="51" t="s">
        <v>66</v>
      </c>
      <c r="F27" s="51" t="s">
        <v>90</v>
      </c>
      <c r="G27" s="51" t="s">
        <v>114</v>
      </c>
      <c r="H27" s="51" t="s">
        <v>132</v>
      </c>
      <c r="I27" s="51" t="s">
        <v>185</v>
      </c>
      <c r="J27" s="51" t="s">
        <v>153</v>
      </c>
      <c r="K27" s="51" t="s">
        <v>173</v>
      </c>
      <c r="L27" s="51">
        <v>2</v>
      </c>
      <c r="M27" s="37">
        <f t="shared" si="1"/>
        <v>100</v>
      </c>
      <c r="N27" s="51">
        <v>150</v>
      </c>
      <c r="O27" s="61" t="s">
        <v>187</v>
      </c>
      <c r="P27" s="102">
        <v>4.5999999999999999E-3</v>
      </c>
      <c r="Q27" s="52">
        <f t="shared" ref="Q27" si="8">P27*N27</f>
        <v>0.69</v>
      </c>
      <c r="R27" s="105"/>
      <c r="S27" s="59"/>
    </row>
    <row r="28" spans="1:19" x14ac:dyDescent="0.25">
      <c r="A28" s="1"/>
      <c r="B28" s="46">
        <f>ROW(B28) - ROW($B$9)</f>
        <v>19</v>
      </c>
      <c r="C28" s="53" t="s">
        <v>16</v>
      </c>
      <c r="D28" s="37" t="s">
        <v>38</v>
      </c>
      <c r="E28" s="37" t="s">
        <v>67</v>
      </c>
      <c r="F28" s="37" t="s">
        <v>90</v>
      </c>
      <c r="G28" s="37" t="s">
        <v>115</v>
      </c>
      <c r="H28" s="37" t="s">
        <v>125</v>
      </c>
      <c r="I28" s="37" t="s">
        <v>185</v>
      </c>
      <c r="J28" s="37" t="s">
        <v>154</v>
      </c>
      <c r="K28" s="37" t="s">
        <v>174</v>
      </c>
      <c r="L28" s="37">
        <v>4</v>
      </c>
      <c r="M28" s="37">
        <f t="shared" si="1"/>
        <v>200</v>
      </c>
      <c r="N28" s="37">
        <v>300</v>
      </c>
      <c r="O28" s="60" t="s">
        <v>187</v>
      </c>
      <c r="P28" s="108">
        <v>8.9999999999999998E-4</v>
      </c>
      <c r="Q28" s="38">
        <f>P28*N28</f>
        <v>0.27</v>
      </c>
      <c r="R28" s="83"/>
      <c r="S28" s="59"/>
    </row>
    <row r="29" spans="1:19" ht="25.5" x14ac:dyDescent="0.25">
      <c r="A29" s="1"/>
      <c r="B29" s="47">
        <f t="shared" si="0"/>
        <v>20</v>
      </c>
      <c r="C29" s="54" t="s">
        <v>17</v>
      </c>
      <c r="D29" s="51" t="s">
        <v>39</v>
      </c>
      <c r="E29" s="51" t="s">
        <v>68</v>
      </c>
      <c r="F29" s="51" t="s">
        <v>91</v>
      </c>
      <c r="G29" s="51" t="s">
        <v>116</v>
      </c>
      <c r="H29" s="51" t="s">
        <v>133</v>
      </c>
      <c r="I29" s="51" t="s">
        <v>185</v>
      </c>
      <c r="J29" s="51" t="s">
        <v>155</v>
      </c>
      <c r="K29" s="51" t="s">
        <v>185</v>
      </c>
      <c r="L29" s="51">
        <v>1</v>
      </c>
      <c r="M29" s="37">
        <f t="shared" si="1"/>
        <v>50</v>
      </c>
      <c r="N29" s="51">
        <v>55</v>
      </c>
      <c r="O29" s="61" t="s">
        <v>187</v>
      </c>
      <c r="P29" s="102">
        <v>0.2429</v>
      </c>
      <c r="Q29" s="52">
        <f t="shared" ref="Q29" si="9">P29*N29</f>
        <v>13.359500000000001</v>
      </c>
      <c r="R29" s="105"/>
      <c r="S29" s="59"/>
    </row>
    <row r="30" spans="1:19" ht="36" x14ac:dyDescent="0.25">
      <c r="A30" s="1"/>
      <c r="B30" s="46">
        <f>ROW(B30) - ROW($B$9)</f>
        <v>21</v>
      </c>
      <c r="C30" s="53" t="s">
        <v>18</v>
      </c>
      <c r="D30" s="37" t="s">
        <v>40</v>
      </c>
      <c r="E30" s="37" t="s">
        <v>69</v>
      </c>
      <c r="F30" s="37" t="s">
        <v>92</v>
      </c>
      <c r="G30" s="37" t="s">
        <v>117</v>
      </c>
      <c r="H30" s="37" t="s">
        <v>134</v>
      </c>
      <c r="I30" s="37" t="s">
        <v>185</v>
      </c>
      <c r="J30" s="37" t="s">
        <v>156</v>
      </c>
      <c r="K30" s="37" t="s">
        <v>185</v>
      </c>
      <c r="L30" s="37">
        <v>1</v>
      </c>
      <c r="M30" s="37">
        <f t="shared" si="1"/>
        <v>50</v>
      </c>
      <c r="N30" s="37">
        <v>51</v>
      </c>
      <c r="O30" s="60" t="s">
        <v>187</v>
      </c>
      <c r="P30" s="108">
        <v>0.5696</v>
      </c>
      <c r="Q30" s="38">
        <f>P30*N30</f>
        <v>29.049599999999998</v>
      </c>
      <c r="R30" s="83"/>
      <c r="S30" s="59"/>
    </row>
    <row r="31" spans="1:19" ht="24" x14ac:dyDescent="0.25">
      <c r="A31" s="1"/>
      <c r="B31" s="47">
        <f t="shared" si="0"/>
        <v>22</v>
      </c>
      <c r="C31" s="54" t="s">
        <v>18</v>
      </c>
      <c r="D31" s="51" t="s">
        <v>41</v>
      </c>
      <c r="E31" s="51" t="s">
        <v>70</v>
      </c>
      <c r="F31" s="51" t="s">
        <v>93</v>
      </c>
      <c r="G31" s="51" t="s">
        <v>118</v>
      </c>
      <c r="H31" s="51" t="s">
        <v>135</v>
      </c>
      <c r="I31" s="51" t="s">
        <v>185</v>
      </c>
      <c r="J31" s="51" t="s">
        <v>185</v>
      </c>
      <c r="K31" s="51" t="s">
        <v>185</v>
      </c>
      <c r="L31" s="51">
        <v>1</v>
      </c>
      <c r="M31" s="37">
        <f t="shared" si="1"/>
        <v>50</v>
      </c>
      <c r="N31" s="51">
        <v>51</v>
      </c>
      <c r="O31" s="60" t="s">
        <v>210</v>
      </c>
      <c r="P31" s="102">
        <v>2.5</v>
      </c>
      <c r="Q31" s="52">
        <f t="shared" ref="Q31" si="10">P31*N31</f>
        <v>127.5</v>
      </c>
      <c r="R31" s="105"/>
      <c r="S31" s="59"/>
    </row>
    <row r="32" spans="1:19" ht="24" x14ac:dyDescent="0.25">
      <c r="A32" s="1"/>
      <c r="B32" s="46">
        <f>ROW(B32) - ROW($B$9)</f>
        <v>23</v>
      </c>
      <c r="C32" s="53" t="s">
        <v>18</v>
      </c>
      <c r="D32" s="37" t="s">
        <v>42</v>
      </c>
      <c r="E32" s="37" t="s">
        <v>71</v>
      </c>
      <c r="F32" s="37" t="s">
        <v>94</v>
      </c>
      <c r="G32" s="37" t="s">
        <v>119</v>
      </c>
      <c r="H32" s="37" t="s">
        <v>136</v>
      </c>
      <c r="I32" s="37" t="s">
        <v>185</v>
      </c>
      <c r="J32" s="37" t="s">
        <v>158</v>
      </c>
      <c r="K32" s="51" t="s">
        <v>185</v>
      </c>
      <c r="L32" s="37">
        <v>1</v>
      </c>
      <c r="M32" s="37">
        <f t="shared" si="1"/>
        <v>50</v>
      </c>
      <c r="N32" s="37">
        <v>55</v>
      </c>
      <c r="O32" s="60" t="s">
        <v>187</v>
      </c>
      <c r="P32" s="108">
        <v>6.4000000000000001E-2</v>
      </c>
      <c r="Q32" s="38">
        <f>P32*N32</f>
        <v>3.52</v>
      </c>
      <c r="R32" s="83"/>
      <c r="S32" s="59"/>
    </row>
    <row r="33" spans="1:19" ht="24" x14ac:dyDescent="0.25">
      <c r="A33" s="1"/>
      <c r="B33" s="47">
        <f t="shared" si="0"/>
        <v>24</v>
      </c>
      <c r="C33" s="54" t="s">
        <v>18</v>
      </c>
      <c r="D33" s="51" t="s">
        <v>43</v>
      </c>
      <c r="E33" s="51" t="s">
        <v>72</v>
      </c>
      <c r="F33" s="51" t="s">
        <v>95</v>
      </c>
      <c r="G33" s="51" t="s">
        <v>181</v>
      </c>
      <c r="H33" s="51" t="s">
        <v>137</v>
      </c>
      <c r="I33" s="51" t="s">
        <v>185</v>
      </c>
      <c r="J33" s="51" t="s">
        <v>182</v>
      </c>
      <c r="K33" s="37" t="s">
        <v>185</v>
      </c>
      <c r="L33" s="51">
        <v>1</v>
      </c>
      <c r="M33" s="37">
        <f t="shared" si="1"/>
        <v>50</v>
      </c>
      <c r="N33" s="51">
        <v>51</v>
      </c>
      <c r="O33" s="61" t="s">
        <v>187</v>
      </c>
      <c r="P33" s="102">
        <v>0.60940000000000005</v>
      </c>
      <c r="Q33" s="52">
        <f t="shared" ref="Q33" si="11">P33*N33</f>
        <v>31.079400000000003</v>
      </c>
      <c r="R33" s="105"/>
      <c r="S33" s="59"/>
    </row>
    <row r="34" spans="1:19" ht="24" x14ac:dyDescent="0.25">
      <c r="A34" s="1"/>
      <c r="B34" s="46">
        <f>ROW(B34) - ROW($B$9)</f>
        <v>25</v>
      </c>
      <c r="C34" s="53" t="s">
        <v>18</v>
      </c>
      <c r="D34" s="37" t="s">
        <v>44</v>
      </c>
      <c r="E34" s="37" t="s">
        <v>73</v>
      </c>
      <c r="F34" s="37" t="s">
        <v>96</v>
      </c>
      <c r="G34" s="37" t="s">
        <v>120</v>
      </c>
      <c r="H34" s="37" t="s">
        <v>136</v>
      </c>
      <c r="I34" s="37" t="s">
        <v>185</v>
      </c>
      <c r="J34" s="37" t="s">
        <v>159</v>
      </c>
      <c r="K34" s="51" t="s">
        <v>185</v>
      </c>
      <c r="L34" s="37">
        <v>1</v>
      </c>
      <c r="M34" s="37">
        <f t="shared" si="1"/>
        <v>50</v>
      </c>
      <c r="N34" s="37">
        <v>55</v>
      </c>
      <c r="O34" s="60" t="s">
        <v>187</v>
      </c>
      <c r="P34" s="108">
        <v>0.11559999999999999</v>
      </c>
      <c r="Q34" s="38">
        <f>P34*N34</f>
        <v>6.3579999999999997</v>
      </c>
      <c r="R34" s="83"/>
      <c r="S34" s="59"/>
    </row>
    <row r="35" spans="1:19" ht="24" x14ac:dyDescent="0.25">
      <c r="A35" s="1"/>
      <c r="B35" s="47">
        <f t="shared" si="0"/>
        <v>26</v>
      </c>
      <c r="C35" s="54" t="s">
        <v>18</v>
      </c>
      <c r="D35" s="51" t="s">
        <v>45</v>
      </c>
      <c r="E35" s="51" t="s">
        <v>74</v>
      </c>
      <c r="F35" s="51" t="s">
        <v>97</v>
      </c>
      <c r="G35" s="51" t="s">
        <v>97</v>
      </c>
      <c r="H35" s="51" t="s">
        <v>138</v>
      </c>
      <c r="I35" s="51" t="s">
        <v>185</v>
      </c>
      <c r="J35" s="51"/>
      <c r="K35" s="51" t="s">
        <v>185</v>
      </c>
      <c r="L35" s="51">
        <v>1</v>
      </c>
      <c r="M35" s="37">
        <f t="shared" si="1"/>
        <v>50</v>
      </c>
      <c r="N35" s="51">
        <v>51</v>
      </c>
      <c r="O35" s="61" t="s">
        <v>210</v>
      </c>
      <c r="P35" s="102">
        <v>12.754</v>
      </c>
      <c r="Q35" s="52">
        <f t="shared" ref="Q35" si="12">P35*N35</f>
        <v>650.45399999999995</v>
      </c>
      <c r="R35" s="105"/>
      <c r="S35" s="59"/>
    </row>
    <row r="36" spans="1:19" ht="24" x14ac:dyDescent="0.25">
      <c r="A36" s="1"/>
      <c r="B36" s="46">
        <f>ROW(B36) - ROW($B$9)</f>
        <v>27</v>
      </c>
      <c r="C36" s="53" t="s">
        <v>18</v>
      </c>
      <c r="D36" s="37" t="s">
        <v>46</v>
      </c>
      <c r="E36" s="37" t="s">
        <v>75</v>
      </c>
      <c r="F36" s="37" t="s">
        <v>98</v>
      </c>
      <c r="G36" s="37" t="s">
        <v>121</v>
      </c>
      <c r="H36" s="37" t="s">
        <v>137</v>
      </c>
      <c r="I36" s="37" t="s">
        <v>185</v>
      </c>
      <c r="J36" s="37" t="s">
        <v>160</v>
      </c>
      <c r="K36" s="37" t="s">
        <v>185</v>
      </c>
      <c r="L36" s="37">
        <v>1</v>
      </c>
      <c r="M36" s="37">
        <f t="shared" si="1"/>
        <v>50</v>
      </c>
      <c r="N36" s="37">
        <v>51</v>
      </c>
      <c r="O36" s="60" t="s">
        <v>187</v>
      </c>
      <c r="P36" s="108">
        <v>0.2848</v>
      </c>
      <c r="Q36" s="38">
        <f>P36*N36</f>
        <v>14.524799999999999</v>
      </c>
      <c r="R36" s="83"/>
      <c r="S36" s="59"/>
    </row>
    <row r="37" spans="1:19" ht="24" x14ac:dyDescent="0.25">
      <c r="A37" s="1"/>
      <c r="B37" s="47">
        <f t="shared" si="0"/>
        <v>28</v>
      </c>
      <c r="C37" s="54" t="s">
        <v>18</v>
      </c>
      <c r="D37" s="51" t="s">
        <v>47</v>
      </c>
      <c r="E37" s="51" t="s">
        <v>76</v>
      </c>
      <c r="F37" s="51" t="s">
        <v>99</v>
      </c>
      <c r="G37" s="51" t="s">
        <v>122</v>
      </c>
      <c r="H37" s="51" t="s">
        <v>139</v>
      </c>
      <c r="I37" s="51"/>
      <c r="J37" s="51" t="s">
        <v>161</v>
      </c>
      <c r="K37" s="51" t="s">
        <v>185</v>
      </c>
      <c r="L37" s="51">
        <v>1</v>
      </c>
      <c r="M37" s="37">
        <f t="shared" si="1"/>
        <v>50</v>
      </c>
      <c r="N37" s="51">
        <v>51</v>
      </c>
      <c r="O37" s="61" t="s">
        <v>187</v>
      </c>
      <c r="P37" s="102">
        <v>2.1255000000000002</v>
      </c>
      <c r="Q37" s="52">
        <f t="shared" ref="Q37" si="13">P37*N37</f>
        <v>108.40050000000001</v>
      </c>
      <c r="R37" s="105"/>
      <c r="S37" s="59"/>
    </row>
    <row r="38" spans="1:19" ht="24.75" thickBot="1" x14ac:dyDescent="0.3">
      <c r="A38" s="1"/>
      <c r="B38" s="46">
        <f>ROW(B38) - ROW($B$9)</f>
        <v>29</v>
      </c>
      <c r="C38" s="53" t="s">
        <v>18</v>
      </c>
      <c r="D38" s="37" t="s">
        <v>48</v>
      </c>
      <c r="E38" s="37" t="s">
        <v>77</v>
      </c>
      <c r="F38" s="37" t="s">
        <v>100</v>
      </c>
      <c r="G38" s="37" t="s">
        <v>123</v>
      </c>
      <c r="H38" s="37" t="s">
        <v>139</v>
      </c>
      <c r="I38" s="37"/>
      <c r="J38" s="37" t="s">
        <v>162</v>
      </c>
      <c r="K38" s="89" t="s">
        <v>185</v>
      </c>
      <c r="L38" s="37">
        <v>1</v>
      </c>
      <c r="M38" s="89">
        <f t="shared" si="1"/>
        <v>50</v>
      </c>
      <c r="N38" s="89">
        <v>51</v>
      </c>
      <c r="O38" s="60" t="s">
        <v>187</v>
      </c>
      <c r="P38" s="100">
        <v>1.2585</v>
      </c>
      <c r="Q38" s="52">
        <f>P38*N38</f>
        <v>64.183499999999995</v>
      </c>
      <c r="R38" s="80"/>
      <c r="S38" s="59"/>
    </row>
    <row r="39" spans="1:19" ht="36" x14ac:dyDescent="0.25">
      <c r="A39" s="1"/>
      <c r="B39" s="46">
        <f t="shared" ref="B39:B41" si="14">ROW(B39) - ROW($B$9)</f>
        <v>30</v>
      </c>
      <c r="C39" s="81" t="s">
        <v>203</v>
      </c>
      <c r="D39" s="37" t="s">
        <v>185</v>
      </c>
      <c r="E39" s="82" t="s">
        <v>204</v>
      </c>
      <c r="F39" s="37" t="s">
        <v>185</v>
      </c>
      <c r="G39" s="82" t="s">
        <v>185</v>
      </c>
      <c r="H39" s="37" t="s">
        <v>185</v>
      </c>
      <c r="I39" s="37" t="s">
        <v>185</v>
      </c>
      <c r="J39" s="85" t="s">
        <v>185</v>
      </c>
      <c r="K39" s="91" t="s">
        <v>185</v>
      </c>
      <c r="L39" s="83">
        <v>1</v>
      </c>
      <c r="M39" s="91">
        <f t="shared" si="1"/>
        <v>50</v>
      </c>
      <c r="N39" s="91">
        <v>51</v>
      </c>
      <c r="O39" s="84" t="s">
        <v>208</v>
      </c>
      <c r="P39" s="101">
        <v>3.29</v>
      </c>
      <c r="Q39" s="52">
        <f t="shared" ref="Q39:Q41" si="15">P39*N39</f>
        <v>167.79</v>
      </c>
      <c r="R39" s="104"/>
      <c r="S39" s="91"/>
    </row>
    <row r="40" spans="1:19" ht="72" x14ac:dyDescent="0.25">
      <c r="A40" s="1"/>
      <c r="B40" s="46">
        <f t="shared" si="14"/>
        <v>31</v>
      </c>
      <c r="C40" s="81" t="s">
        <v>203</v>
      </c>
      <c r="D40" s="37" t="s">
        <v>185</v>
      </c>
      <c r="E40" s="82" t="s">
        <v>205</v>
      </c>
      <c r="F40" s="37" t="s">
        <v>185</v>
      </c>
      <c r="G40" s="82" t="s">
        <v>185</v>
      </c>
      <c r="H40" s="37" t="s">
        <v>185</v>
      </c>
      <c r="I40" s="37" t="s">
        <v>185</v>
      </c>
      <c r="J40" s="85" t="s">
        <v>185</v>
      </c>
      <c r="K40" s="51"/>
      <c r="L40" s="83">
        <v>1</v>
      </c>
      <c r="M40" s="37">
        <f t="shared" si="1"/>
        <v>50</v>
      </c>
      <c r="N40" s="51">
        <v>51</v>
      </c>
      <c r="O40" s="87" t="s">
        <v>208</v>
      </c>
      <c r="P40" s="102">
        <v>3.15</v>
      </c>
      <c r="Q40" s="52">
        <f t="shared" si="15"/>
        <v>160.65</v>
      </c>
      <c r="R40" s="105"/>
      <c r="S40" s="51"/>
    </row>
    <row r="41" spans="1:19" ht="60.75" thickBot="1" x14ac:dyDescent="0.3">
      <c r="A41" s="1"/>
      <c r="B41" s="46">
        <f t="shared" si="14"/>
        <v>32</v>
      </c>
      <c r="C41" s="81" t="s">
        <v>203</v>
      </c>
      <c r="D41" s="37"/>
      <c r="E41" s="82" t="s">
        <v>206</v>
      </c>
      <c r="F41" s="37"/>
      <c r="G41" s="82" t="s">
        <v>207</v>
      </c>
      <c r="H41" s="37"/>
      <c r="I41" s="37"/>
      <c r="J41" s="85"/>
      <c r="K41" s="39"/>
      <c r="L41" s="83">
        <v>1</v>
      </c>
      <c r="M41" s="92">
        <f t="shared" si="1"/>
        <v>50</v>
      </c>
      <c r="N41" s="39">
        <v>1</v>
      </c>
      <c r="O41" s="87" t="s">
        <v>209</v>
      </c>
      <c r="P41" s="103">
        <v>33.950000000000003</v>
      </c>
      <c r="Q41" s="52">
        <f t="shared" si="15"/>
        <v>33.950000000000003</v>
      </c>
      <c r="R41" s="106"/>
      <c r="S41" s="39"/>
    </row>
    <row r="42" spans="1:19" ht="19.5" thickBot="1" x14ac:dyDescent="0.3">
      <c r="A42" s="1"/>
      <c r="B42" s="40"/>
      <c r="C42" s="41"/>
      <c r="D42" s="42"/>
      <c r="E42" s="43"/>
      <c r="F42" s="44"/>
      <c r="G42" s="45"/>
      <c r="H42" s="44"/>
      <c r="I42" s="45"/>
      <c r="J42" s="44"/>
      <c r="K42" s="45"/>
      <c r="L42" s="45"/>
      <c r="M42" s="45"/>
      <c r="N42" s="86" t="s">
        <v>5</v>
      </c>
      <c r="O42" s="79"/>
      <c r="P42" s="88"/>
      <c r="Q42" s="90">
        <f>SUM(Q10:Q38)</f>
        <v>1126.4336000000001</v>
      </c>
      <c r="R42" s="74"/>
      <c r="S42" s="75"/>
    </row>
    <row r="43" spans="1:19" ht="19.5" thickBot="1" x14ac:dyDescent="0.3">
      <c r="A43" s="1"/>
      <c r="B43" s="25"/>
      <c r="C43" s="36"/>
      <c r="D43" s="9"/>
      <c r="E43" s="10"/>
      <c r="F43" s="10"/>
      <c r="G43" s="10"/>
      <c r="H43" s="10"/>
      <c r="I43" s="10"/>
      <c r="J43" s="10"/>
      <c r="K43" s="10"/>
      <c r="L43" s="10"/>
      <c r="M43" s="10"/>
      <c r="N43" s="78" t="s">
        <v>6</v>
      </c>
      <c r="O43" s="79"/>
      <c r="P43" s="79"/>
      <c r="Q43" s="49">
        <f>Q42/50</f>
        <v>22.528672</v>
      </c>
      <c r="R43" s="76"/>
      <c r="S43" s="77"/>
    </row>
  </sheetData>
  <mergeCells count="5">
    <mergeCell ref="K1:S1"/>
    <mergeCell ref="S3:S8"/>
    <mergeCell ref="N42:P42"/>
    <mergeCell ref="R42:S43"/>
    <mergeCell ref="N43:P43"/>
  </mergeCells>
  <hyperlinks>
    <hyperlink ref="O10" r:id="rId1"/>
    <hyperlink ref="O11" r:id="rId2"/>
    <hyperlink ref="O13" r:id="rId3"/>
    <hyperlink ref="O14" r:id="rId4"/>
    <hyperlink ref="O15" r:id="rId5"/>
    <hyperlink ref="O16" r:id="rId6"/>
    <hyperlink ref="O21" r:id="rId7"/>
    <hyperlink ref="O22" r:id="rId8"/>
    <hyperlink ref="O23" r:id="rId9"/>
    <hyperlink ref="O24" r:id="rId10"/>
    <hyperlink ref="O25" r:id="rId11"/>
    <hyperlink ref="O26" r:id="rId12"/>
    <hyperlink ref="O27" r:id="rId13"/>
    <hyperlink ref="O28" r:id="rId14"/>
    <hyperlink ref="O29" r:id="rId15"/>
    <hyperlink ref="O30" r:id="rId16"/>
    <hyperlink ref="O32" r:id="rId17"/>
    <hyperlink ref="O33" r:id="rId18"/>
    <hyperlink ref="O34" r:id="rId19"/>
    <hyperlink ref="O36" r:id="rId20"/>
    <hyperlink ref="O37" r:id="rId21"/>
    <hyperlink ref="O38" r:id="rId22"/>
    <hyperlink ref="O12" r:id="rId23"/>
    <hyperlink ref="O41" r:id="rId24"/>
    <hyperlink ref="O40" r:id="rId25"/>
    <hyperlink ref="O39" r:id="rId26"/>
    <hyperlink ref="O35" r:id="rId27"/>
    <hyperlink ref="O18" r:id="rId28" location="nav-specification"/>
  </hyperlinks>
  <pageMargins left="0.7" right="0.7" top="0.75" bottom="0.75" header="0.3" footer="0.3"/>
  <pageSetup orientation="portrait" r:id="rId29"/>
  <drawing r:id="rId3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3"/>
  <sheetViews>
    <sheetView topLeftCell="A31" workbookViewId="0">
      <selection activeCell="G50" sqref="G50"/>
    </sheetView>
  </sheetViews>
  <sheetFormatPr defaultRowHeight="15" x14ac:dyDescent="0.25"/>
  <cols>
    <col min="2" max="2" width="3" bestFit="1" customWidth="1"/>
    <col min="3" max="3" width="9.85546875" bestFit="1" customWidth="1"/>
    <col min="4" max="4" width="31.140625" bestFit="1" customWidth="1"/>
    <col min="5" max="6" width="25.42578125" customWidth="1"/>
    <col min="7" max="7" width="25.28515625" bestFit="1" customWidth="1"/>
    <col min="8" max="8" width="13.285156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9.28515625" bestFit="1" customWidth="1"/>
    <col min="14" max="14" width="16.5703125" bestFit="1" customWidth="1"/>
    <col min="15" max="15" width="11.7109375" bestFit="1" customWidth="1"/>
    <col min="16" max="16" width="19.7109375" bestFit="1" customWidth="1"/>
    <col min="17" max="17" width="20.28515625" bestFit="1" customWidth="1"/>
    <col min="18" max="18" width="8.5703125" bestFit="1" customWidth="1"/>
    <col min="19" max="19" width="26.42578125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70"/>
      <c r="L1" s="70"/>
      <c r="M1" s="70"/>
      <c r="N1" s="70"/>
      <c r="O1" s="70"/>
      <c r="P1" s="70"/>
      <c r="Q1" s="70"/>
      <c r="R1" s="70"/>
      <c r="S1" s="71"/>
    </row>
    <row r="2" spans="1:19" ht="32.25" thickBot="1" x14ac:dyDescent="0.3">
      <c r="A2" s="1"/>
      <c r="B2" s="21"/>
      <c r="C2" s="31"/>
      <c r="D2" s="11" t="s">
        <v>0</v>
      </c>
      <c r="E2" s="11"/>
      <c r="F2" s="55" t="s">
        <v>183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6" t="s">
        <v>184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72"/>
    </row>
    <row r="4" spans="1:19" x14ac:dyDescent="0.25">
      <c r="A4" s="1"/>
      <c r="B4" s="22"/>
      <c r="C4" s="32"/>
      <c r="D4" s="13" t="s">
        <v>2</v>
      </c>
      <c r="E4" s="13"/>
      <c r="F4" s="57" t="s">
        <v>184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73"/>
    </row>
    <row r="5" spans="1:19" x14ac:dyDescent="0.25">
      <c r="A5" s="1"/>
      <c r="B5" s="22"/>
      <c r="C5" s="32"/>
      <c r="D5" s="13" t="s">
        <v>3</v>
      </c>
      <c r="E5" s="13"/>
      <c r="F5" s="58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73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73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73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73"/>
    </row>
    <row r="9" spans="1:19" ht="15.75" thickBot="1" x14ac:dyDescent="0.3">
      <c r="A9" s="1"/>
      <c r="B9" s="30" t="s">
        <v>4</v>
      </c>
      <c r="C9" s="30" t="s">
        <v>8</v>
      </c>
      <c r="D9" s="30" t="s">
        <v>19</v>
      </c>
      <c r="E9" s="30" t="s">
        <v>49</v>
      </c>
      <c r="F9" s="30" t="s">
        <v>78</v>
      </c>
      <c r="G9" s="30" t="s">
        <v>101</v>
      </c>
      <c r="H9" s="30" t="s">
        <v>124</v>
      </c>
      <c r="I9" s="30" t="s">
        <v>176</v>
      </c>
      <c r="J9" s="30" t="s">
        <v>140</v>
      </c>
      <c r="K9" s="30" t="s">
        <v>177</v>
      </c>
      <c r="L9" s="30" t="s">
        <v>175</v>
      </c>
      <c r="M9" s="30" t="s">
        <v>199</v>
      </c>
      <c r="N9" s="30" t="s">
        <v>200</v>
      </c>
      <c r="O9" s="30" t="s">
        <v>178</v>
      </c>
      <c r="P9" s="107" t="s">
        <v>201</v>
      </c>
      <c r="Q9" s="30" t="s">
        <v>202</v>
      </c>
      <c r="R9" s="111" t="s">
        <v>179</v>
      </c>
      <c r="S9" s="30" t="s">
        <v>180</v>
      </c>
    </row>
    <row r="10" spans="1:19" s="96" customFormat="1" x14ac:dyDescent="0.25">
      <c r="A10" s="95"/>
      <c r="B10" s="46">
        <f>ROW(B10) - ROW($B$9)</f>
        <v>1</v>
      </c>
      <c r="C10" s="54" t="s">
        <v>9</v>
      </c>
      <c r="D10" s="37" t="s">
        <v>20</v>
      </c>
      <c r="E10" s="37" t="s">
        <v>50</v>
      </c>
      <c r="F10" s="37" t="s">
        <v>79</v>
      </c>
      <c r="G10" s="37" t="s">
        <v>102</v>
      </c>
      <c r="H10" s="37" t="s">
        <v>125</v>
      </c>
      <c r="I10" s="37" t="s">
        <v>185</v>
      </c>
      <c r="J10" s="37" t="s">
        <v>141</v>
      </c>
      <c r="K10" s="37" t="s">
        <v>163</v>
      </c>
      <c r="L10" s="37">
        <v>6</v>
      </c>
      <c r="M10" s="37">
        <f>L10*100</f>
        <v>600</v>
      </c>
      <c r="N10" s="37">
        <v>700</v>
      </c>
      <c r="O10" s="60" t="s">
        <v>187</v>
      </c>
      <c r="P10" s="108">
        <v>1.1000000000000001E-3</v>
      </c>
      <c r="Q10" s="38">
        <f>P10*N10</f>
        <v>0.77</v>
      </c>
      <c r="R10" s="83"/>
      <c r="S10" s="114"/>
    </row>
    <row r="11" spans="1:19" s="96" customFormat="1" x14ac:dyDescent="0.25">
      <c r="A11" s="95"/>
      <c r="B11" s="47">
        <f t="shared" ref="B11:B37" si="0">ROW(B11) - ROW($B$9)</f>
        <v>2</v>
      </c>
      <c r="C11" s="54" t="s">
        <v>9</v>
      </c>
      <c r="D11" s="51" t="s">
        <v>21</v>
      </c>
      <c r="E11" s="51" t="s">
        <v>51</v>
      </c>
      <c r="F11" s="51" t="s">
        <v>80</v>
      </c>
      <c r="G11" s="51" t="s">
        <v>103</v>
      </c>
      <c r="H11" s="51" t="s">
        <v>126</v>
      </c>
      <c r="I11" s="51" t="s">
        <v>185</v>
      </c>
      <c r="J11" s="51" t="s">
        <v>142</v>
      </c>
      <c r="K11" s="51" t="s">
        <v>164</v>
      </c>
      <c r="L11" s="51">
        <v>1</v>
      </c>
      <c r="M11" s="37">
        <f t="shared" ref="M11:M41" si="1">L11*100</f>
        <v>100</v>
      </c>
      <c r="N11" s="51">
        <v>150</v>
      </c>
      <c r="O11" s="61" t="s">
        <v>187</v>
      </c>
      <c r="P11" s="102">
        <v>1.09E-2</v>
      </c>
      <c r="Q11" s="52">
        <f t="shared" ref="Q11" si="2">P11*N11</f>
        <v>1.635</v>
      </c>
      <c r="R11" s="105"/>
      <c r="S11" s="51"/>
    </row>
    <row r="12" spans="1:19" s="96" customFormat="1" x14ac:dyDescent="0.25">
      <c r="A12" s="95"/>
      <c r="B12" s="46">
        <f>ROW(B12) - ROW($B$9)</f>
        <v>3</v>
      </c>
      <c r="C12" s="53" t="s">
        <v>9</v>
      </c>
      <c r="D12" s="37" t="s">
        <v>22</v>
      </c>
      <c r="E12" s="37" t="s">
        <v>52</v>
      </c>
      <c r="F12" s="37" t="s">
        <v>81</v>
      </c>
      <c r="G12" s="66" t="s">
        <v>104</v>
      </c>
      <c r="H12" s="37" t="s">
        <v>125</v>
      </c>
      <c r="I12" s="37" t="s">
        <v>189</v>
      </c>
      <c r="J12" s="37" t="s">
        <v>190</v>
      </c>
      <c r="K12" s="37" t="s">
        <v>165</v>
      </c>
      <c r="L12" s="37">
        <v>1</v>
      </c>
      <c r="M12" s="37">
        <f t="shared" si="1"/>
        <v>100</v>
      </c>
      <c r="N12" s="37">
        <v>150</v>
      </c>
      <c r="O12" s="60" t="s">
        <v>187</v>
      </c>
      <c r="P12" s="108">
        <v>1.35E-2</v>
      </c>
      <c r="Q12" s="38">
        <f>P12*N12</f>
        <v>2.0249999999999999</v>
      </c>
      <c r="R12" s="83"/>
      <c r="S12" s="59"/>
    </row>
    <row r="13" spans="1:19" s="96" customFormat="1" x14ac:dyDescent="0.25">
      <c r="A13" s="95"/>
      <c r="B13" s="47">
        <f t="shared" si="0"/>
        <v>4</v>
      </c>
      <c r="C13" s="54" t="s">
        <v>9</v>
      </c>
      <c r="D13" s="51" t="s">
        <v>23</v>
      </c>
      <c r="E13" s="51" t="s">
        <v>53</v>
      </c>
      <c r="F13" s="51" t="s">
        <v>79</v>
      </c>
      <c r="G13" s="51" t="s">
        <v>105</v>
      </c>
      <c r="H13" s="51" t="s">
        <v>125</v>
      </c>
      <c r="I13" s="51" t="s">
        <v>185</v>
      </c>
      <c r="J13" s="51" t="s">
        <v>143</v>
      </c>
      <c r="K13" s="51" t="s">
        <v>166</v>
      </c>
      <c r="L13" s="51">
        <v>1</v>
      </c>
      <c r="M13" s="37">
        <f t="shared" si="1"/>
        <v>100</v>
      </c>
      <c r="N13" s="51">
        <v>200</v>
      </c>
      <c r="O13" s="61" t="s">
        <v>187</v>
      </c>
      <c r="P13" s="102">
        <v>5.3E-3</v>
      </c>
      <c r="Q13" s="52">
        <f t="shared" ref="Q13" si="3">P13*N13</f>
        <v>1.06</v>
      </c>
      <c r="R13" s="105"/>
      <c r="S13" s="59"/>
    </row>
    <row r="14" spans="1:19" s="96" customFormat="1" x14ac:dyDescent="0.25">
      <c r="A14" s="95"/>
      <c r="B14" s="46">
        <f>ROW(B14) - ROW($B$9)</f>
        <v>5</v>
      </c>
      <c r="C14" s="53" t="s">
        <v>9</v>
      </c>
      <c r="D14" s="37" t="s">
        <v>24</v>
      </c>
      <c r="E14" s="37" t="s">
        <v>54</v>
      </c>
      <c r="F14" s="37" t="s">
        <v>79</v>
      </c>
      <c r="G14" s="37" t="s">
        <v>106</v>
      </c>
      <c r="H14" s="37" t="s">
        <v>125</v>
      </c>
      <c r="I14" s="37" t="s">
        <v>185</v>
      </c>
      <c r="J14" s="37" t="s">
        <v>144</v>
      </c>
      <c r="K14" s="37" t="s">
        <v>167</v>
      </c>
      <c r="L14" s="37">
        <v>1</v>
      </c>
      <c r="M14" s="37">
        <f t="shared" si="1"/>
        <v>100</v>
      </c>
      <c r="N14" s="37">
        <v>120</v>
      </c>
      <c r="O14" s="60" t="s">
        <v>187</v>
      </c>
      <c r="P14" s="108">
        <v>3.44E-2</v>
      </c>
      <c r="Q14" s="38">
        <f>P14*N14</f>
        <v>4.1280000000000001</v>
      </c>
      <c r="R14" s="83"/>
      <c r="S14" s="59"/>
    </row>
    <row r="15" spans="1:19" s="96" customFormat="1" x14ac:dyDescent="0.25">
      <c r="A15" s="95"/>
      <c r="B15" s="47">
        <f t="shared" si="0"/>
        <v>6</v>
      </c>
      <c r="C15" s="54" t="s">
        <v>9</v>
      </c>
      <c r="D15" s="51" t="s">
        <v>25</v>
      </c>
      <c r="E15" s="51" t="s">
        <v>55</v>
      </c>
      <c r="F15" s="51" t="s">
        <v>188</v>
      </c>
      <c r="G15" s="51" t="s">
        <v>82</v>
      </c>
      <c r="H15" s="51" t="s">
        <v>127</v>
      </c>
      <c r="I15" s="51" t="s">
        <v>185</v>
      </c>
      <c r="J15" s="51" t="s">
        <v>145</v>
      </c>
      <c r="K15" s="51" t="s">
        <v>168</v>
      </c>
      <c r="L15" s="51">
        <v>1</v>
      </c>
      <c r="M15" s="37">
        <f t="shared" si="1"/>
        <v>100</v>
      </c>
      <c r="N15" s="51">
        <v>101</v>
      </c>
      <c r="O15" s="61" t="s">
        <v>187</v>
      </c>
      <c r="P15" s="102">
        <v>0.45979999999999999</v>
      </c>
      <c r="Q15" s="52">
        <f t="shared" ref="Q15" si="4">P15*N15</f>
        <v>46.439799999999998</v>
      </c>
      <c r="R15" s="105"/>
      <c r="S15" s="59"/>
    </row>
    <row r="16" spans="1:19" s="96" customFormat="1" x14ac:dyDescent="0.25">
      <c r="A16" s="95"/>
      <c r="B16" s="46">
        <f>ROW(B16) - ROW($B$9)</f>
        <v>7</v>
      </c>
      <c r="C16" s="53" t="s">
        <v>9</v>
      </c>
      <c r="D16" s="37" t="s">
        <v>26</v>
      </c>
      <c r="E16" s="37" t="s">
        <v>56</v>
      </c>
      <c r="F16" s="37" t="s">
        <v>79</v>
      </c>
      <c r="G16" s="37" t="s">
        <v>107</v>
      </c>
      <c r="H16" s="37" t="s">
        <v>125</v>
      </c>
      <c r="I16" s="37" t="s">
        <v>185</v>
      </c>
      <c r="J16" s="37" t="s">
        <v>146</v>
      </c>
      <c r="K16" s="37" t="s">
        <v>166</v>
      </c>
      <c r="L16" s="37">
        <v>1</v>
      </c>
      <c r="M16" s="37">
        <f t="shared" si="1"/>
        <v>100</v>
      </c>
      <c r="N16" s="37">
        <v>110</v>
      </c>
      <c r="O16" s="60" t="s">
        <v>187</v>
      </c>
      <c r="P16" s="108">
        <v>5.16E-2</v>
      </c>
      <c r="Q16" s="38">
        <f>P16*N16</f>
        <v>5.6760000000000002</v>
      </c>
      <c r="R16" s="83"/>
      <c r="S16" s="59"/>
    </row>
    <row r="17" spans="1:19" s="96" customFormat="1" x14ac:dyDescent="0.25">
      <c r="A17" s="95"/>
      <c r="B17" s="47">
        <f t="shared" si="0"/>
        <v>8</v>
      </c>
      <c r="C17" s="62" t="s">
        <v>10</v>
      </c>
      <c r="D17" s="63" t="s">
        <v>27</v>
      </c>
      <c r="E17" s="63" t="s">
        <v>57</v>
      </c>
      <c r="F17" s="63" t="s">
        <v>188</v>
      </c>
      <c r="G17" s="63" t="s">
        <v>83</v>
      </c>
      <c r="H17" s="63" t="s">
        <v>185</v>
      </c>
      <c r="I17" s="63" t="s">
        <v>185</v>
      </c>
      <c r="J17" s="63" t="s">
        <v>185</v>
      </c>
      <c r="K17" s="63" t="s">
        <v>185</v>
      </c>
      <c r="L17" s="63">
        <v>4</v>
      </c>
      <c r="M17" s="37">
        <f t="shared" si="1"/>
        <v>400</v>
      </c>
      <c r="N17" s="63" t="s">
        <v>185</v>
      </c>
      <c r="O17" s="63" t="s">
        <v>185</v>
      </c>
      <c r="P17" s="109" t="s">
        <v>185</v>
      </c>
      <c r="Q17" s="64" t="s">
        <v>185</v>
      </c>
      <c r="R17" s="112"/>
      <c r="S17" s="65"/>
    </row>
    <row r="18" spans="1:19" s="96" customFormat="1" ht="25.5" x14ac:dyDescent="0.25">
      <c r="A18" s="95"/>
      <c r="B18" s="46">
        <f>ROW(B18) - ROW($B$9)</f>
        <v>9</v>
      </c>
      <c r="C18" s="53" t="s">
        <v>11</v>
      </c>
      <c r="D18" s="37" t="s">
        <v>28</v>
      </c>
      <c r="E18" s="37" t="s">
        <v>58</v>
      </c>
      <c r="F18" s="37" t="s">
        <v>84</v>
      </c>
      <c r="G18" s="37" t="s">
        <v>84</v>
      </c>
      <c r="H18" s="37" t="s">
        <v>128</v>
      </c>
      <c r="I18" s="37" t="s">
        <v>185</v>
      </c>
      <c r="J18" s="37" t="s">
        <v>185</v>
      </c>
      <c r="K18" s="37" t="s">
        <v>185</v>
      </c>
      <c r="L18" s="37">
        <v>1</v>
      </c>
      <c r="M18" s="37">
        <f t="shared" si="1"/>
        <v>100</v>
      </c>
      <c r="N18" s="37">
        <v>101</v>
      </c>
      <c r="O18" s="60" t="s">
        <v>208</v>
      </c>
      <c r="P18" s="38">
        <v>0.68</v>
      </c>
      <c r="Q18" s="38">
        <f>P18*N18</f>
        <v>68.680000000000007</v>
      </c>
      <c r="R18" s="83"/>
      <c r="S18" s="59"/>
    </row>
    <row r="19" spans="1:19" s="96" customFormat="1" x14ac:dyDescent="0.25">
      <c r="A19" s="95"/>
      <c r="B19" s="47">
        <f t="shared" si="0"/>
        <v>10</v>
      </c>
      <c r="C19" s="62" t="s">
        <v>12</v>
      </c>
      <c r="D19" s="63" t="s">
        <v>29</v>
      </c>
      <c r="E19" s="63" t="s">
        <v>59</v>
      </c>
      <c r="F19" s="63" t="s">
        <v>85</v>
      </c>
      <c r="G19" s="63" t="s">
        <v>108</v>
      </c>
      <c r="H19" s="63" t="s">
        <v>185</v>
      </c>
      <c r="I19" s="63" t="s">
        <v>185</v>
      </c>
      <c r="J19" s="63" t="s">
        <v>185</v>
      </c>
      <c r="K19" s="63" t="s">
        <v>185</v>
      </c>
      <c r="L19" s="63">
        <v>1</v>
      </c>
      <c r="M19" s="37">
        <f t="shared" si="1"/>
        <v>100</v>
      </c>
      <c r="N19" s="63" t="s">
        <v>185</v>
      </c>
      <c r="O19" s="63" t="s">
        <v>185</v>
      </c>
      <c r="P19" s="109" t="s">
        <v>185</v>
      </c>
      <c r="Q19" s="64" t="s">
        <v>185</v>
      </c>
      <c r="R19" s="105"/>
      <c r="S19" s="59"/>
    </row>
    <row r="20" spans="1:19" s="96" customFormat="1" x14ac:dyDescent="0.25">
      <c r="A20" s="95"/>
      <c r="B20" s="46">
        <f>ROW(B20) - ROW($B$9)</f>
        <v>11</v>
      </c>
      <c r="C20" s="67" t="s">
        <v>186</v>
      </c>
      <c r="D20" s="66" t="s">
        <v>30</v>
      </c>
      <c r="E20" s="66" t="s">
        <v>185</v>
      </c>
      <c r="F20" s="66" t="s">
        <v>86</v>
      </c>
      <c r="G20" s="66" t="s">
        <v>185</v>
      </c>
      <c r="H20" s="66" t="s">
        <v>185</v>
      </c>
      <c r="I20" s="66" t="s">
        <v>185</v>
      </c>
      <c r="J20" s="66" t="s">
        <v>185</v>
      </c>
      <c r="K20" s="66" t="s">
        <v>185</v>
      </c>
      <c r="L20" s="66">
        <v>1</v>
      </c>
      <c r="M20" s="37">
        <f t="shared" si="1"/>
        <v>100</v>
      </c>
      <c r="N20" s="66" t="s">
        <v>185</v>
      </c>
      <c r="O20" s="66" t="s">
        <v>185</v>
      </c>
      <c r="P20" s="110" t="s">
        <v>185</v>
      </c>
      <c r="Q20" s="68" t="s">
        <v>185</v>
      </c>
      <c r="R20" s="113"/>
      <c r="S20" s="65"/>
    </row>
    <row r="21" spans="1:19" s="96" customFormat="1" ht="24" x14ac:dyDescent="0.25">
      <c r="A21" s="95"/>
      <c r="B21" s="47">
        <f t="shared" si="0"/>
        <v>12</v>
      </c>
      <c r="C21" s="54" t="s">
        <v>13</v>
      </c>
      <c r="D21" s="51" t="s">
        <v>31</v>
      </c>
      <c r="E21" s="51" t="s">
        <v>60</v>
      </c>
      <c r="F21" s="51" t="s">
        <v>87</v>
      </c>
      <c r="G21" s="51" t="s">
        <v>109</v>
      </c>
      <c r="H21" s="51" t="s">
        <v>129</v>
      </c>
      <c r="I21" s="51" t="s">
        <v>185</v>
      </c>
      <c r="J21" s="51" t="s">
        <v>147</v>
      </c>
      <c r="K21" s="51" t="s">
        <v>169</v>
      </c>
      <c r="L21" s="51">
        <v>1</v>
      </c>
      <c r="M21" s="37">
        <f t="shared" si="1"/>
        <v>100</v>
      </c>
      <c r="N21" s="51">
        <v>105</v>
      </c>
      <c r="O21" s="61" t="s">
        <v>187</v>
      </c>
      <c r="P21" s="102">
        <v>7.0699999999999999E-2</v>
      </c>
      <c r="Q21" s="52">
        <f t="shared" ref="Q21" si="5">P21*N21</f>
        <v>7.4234999999999998</v>
      </c>
      <c r="R21" s="105"/>
      <c r="S21" s="59"/>
    </row>
    <row r="22" spans="1:19" s="96" customFormat="1" ht="48" x14ac:dyDescent="0.25">
      <c r="A22" s="95"/>
      <c r="B22" s="46">
        <f>ROW(B22) - ROW($B$9)</f>
        <v>13</v>
      </c>
      <c r="C22" s="53" t="s">
        <v>14</v>
      </c>
      <c r="D22" s="37" t="s">
        <v>32</v>
      </c>
      <c r="E22" s="37" t="s">
        <v>61</v>
      </c>
      <c r="F22" s="37" t="s">
        <v>188</v>
      </c>
      <c r="G22" s="37" t="s">
        <v>88</v>
      </c>
      <c r="H22" s="37" t="s">
        <v>130</v>
      </c>
      <c r="I22" s="37" t="s">
        <v>185</v>
      </c>
      <c r="J22" s="37" t="s">
        <v>148</v>
      </c>
      <c r="K22" s="37" t="s">
        <v>185</v>
      </c>
      <c r="L22" s="37">
        <v>1</v>
      </c>
      <c r="M22" s="37">
        <f t="shared" si="1"/>
        <v>100</v>
      </c>
      <c r="N22" s="37">
        <v>110</v>
      </c>
      <c r="O22" s="60" t="s">
        <v>187</v>
      </c>
      <c r="P22" s="108">
        <v>4.5199999999999997E-2</v>
      </c>
      <c r="Q22" s="38">
        <f>P22*N22</f>
        <v>4.9719999999999995</v>
      </c>
      <c r="R22" s="83"/>
      <c r="S22" s="59"/>
    </row>
    <row r="23" spans="1:19" s="96" customFormat="1" ht="60" x14ac:dyDescent="0.25">
      <c r="A23" s="95"/>
      <c r="B23" s="47">
        <f t="shared" si="0"/>
        <v>14</v>
      </c>
      <c r="C23" s="54" t="s">
        <v>15</v>
      </c>
      <c r="D23" s="51" t="s">
        <v>33</v>
      </c>
      <c r="E23" s="51" t="s">
        <v>62</v>
      </c>
      <c r="F23" s="51" t="s">
        <v>89</v>
      </c>
      <c r="G23" s="51" t="s">
        <v>110</v>
      </c>
      <c r="H23" s="51" t="s">
        <v>131</v>
      </c>
      <c r="I23" s="51" t="s">
        <v>185</v>
      </c>
      <c r="J23" s="51" t="s">
        <v>149</v>
      </c>
      <c r="K23" s="51" t="s">
        <v>185</v>
      </c>
      <c r="L23" s="51">
        <v>1</v>
      </c>
      <c r="M23" s="37">
        <f t="shared" si="1"/>
        <v>100</v>
      </c>
      <c r="N23" s="51">
        <v>120</v>
      </c>
      <c r="O23" s="61" t="s">
        <v>187</v>
      </c>
      <c r="P23" s="102">
        <v>3.3500000000000002E-2</v>
      </c>
      <c r="Q23" s="52">
        <f t="shared" ref="Q23" si="6">P23*N23</f>
        <v>4.0200000000000005</v>
      </c>
      <c r="R23" s="105"/>
      <c r="S23" s="59"/>
    </row>
    <row r="24" spans="1:19" s="96" customFormat="1" ht="24" x14ac:dyDescent="0.25">
      <c r="A24" s="95"/>
      <c r="B24" s="46">
        <f>ROW(B24) - ROW($B$9)</f>
        <v>15</v>
      </c>
      <c r="C24" s="54" t="s">
        <v>16</v>
      </c>
      <c r="D24" s="37" t="s">
        <v>34</v>
      </c>
      <c r="E24" s="37" t="s">
        <v>63</v>
      </c>
      <c r="F24" s="37" t="s">
        <v>90</v>
      </c>
      <c r="G24" s="37" t="s">
        <v>111</v>
      </c>
      <c r="H24" s="37" t="s">
        <v>125</v>
      </c>
      <c r="I24" s="37" t="s">
        <v>185</v>
      </c>
      <c r="J24" s="37" t="s">
        <v>150</v>
      </c>
      <c r="K24" s="37" t="s">
        <v>170</v>
      </c>
      <c r="L24" s="37">
        <v>5</v>
      </c>
      <c r="M24" s="37">
        <f t="shared" si="1"/>
        <v>500</v>
      </c>
      <c r="N24" s="37">
        <v>600</v>
      </c>
      <c r="O24" s="60" t="s">
        <v>187</v>
      </c>
      <c r="P24" s="108">
        <v>8.0000000000000004E-4</v>
      </c>
      <c r="Q24" s="38">
        <f>P24*N24</f>
        <v>0.48000000000000004</v>
      </c>
      <c r="R24" s="83"/>
      <c r="S24" s="59"/>
    </row>
    <row r="25" spans="1:19" s="96" customFormat="1" ht="48" x14ac:dyDescent="0.25">
      <c r="A25" s="95"/>
      <c r="B25" s="47">
        <f t="shared" si="0"/>
        <v>16</v>
      </c>
      <c r="C25" s="54" t="s">
        <v>16</v>
      </c>
      <c r="D25" s="51" t="s">
        <v>35</v>
      </c>
      <c r="E25" s="51" t="s">
        <v>64</v>
      </c>
      <c r="F25" s="51" t="s">
        <v>90</v>
      </c>
      <c r="G25" s="51" t="s">
        <v>112</v>
      </c>
      <c r="H25" s="51" t="s">
        <v>132</v>
      </c>
      <c r="I25" s="51" t="s">
        <v>185</v>
      </c>
      <c r="J25" s="51" t="s">
        <v>151</v>
      </c>
      <c r="K25" s="51" t="s">
        <v>171</v>
      </c>
      <c r="L25" s="51">
        <v>1</v>
      </c>
      <c r="M25" s="37">
        <f t="shared" si="1"/>
        <v>100</v>
      </c>
      <c r="N25" s="51">
        <v>200</v>
      </c>
      <c r="O25" s="61" t="s">
        <v>187</v>
      </c>
      <c r="P25" s="102">
        <v>8.0000000000000004E-4</v>
      </c>
      <c r="Q25" s="52">
        <f t="shared" ref="Q25" si="7">P25*N25</f>
        <v>0.16</v>
      </c>
      <c r="R25" s="105"/>
      <c r="S25" s="59"/>
    </row>
    <row r="26" spans="1:19" s="96" customFormat="1" ht="48" x14ac:dyDescent="0.25">
      <c r="A26" s="95"/>
      <c r="B26" s="46">
        <f>ROW(B26) - ROW($B$9)</f>
        <v>17</v>
      </c>
      <c r="C26" s="53" t="s">
        <v>16</v>
      </c>
      <c r="D26" s="37" t="s">
        <v>36</v>
      </c>
      <c r="E26" s="37" t="s">
        <v>65</v>
      </c>
      <c r="F26" s="37" t="s">
        <v>90</v>
      </c>
      <c r="G26" s="37" t="s">
        <v>113</v>
      </c>
      <c r="H26" s="37" t="s">
        <v>132</v>
      </c>
      <c r="I26" s="37" t="s">
        <v>185</v>
      </c>
      <c r="J26" s="37" t="s">
        <v>152</v>
      </c>
      <c r="K26" s="37" t="s">
        <v>172</v>
      </c>
      <c r="L26" s="37">
        <v>1</v>
      </c>
      <c r="M26" s="37">
        <f t="shared" si="1"/>
        <v>100</v>
      </c>
      <c r="N26" s="37">
        <v>200</v>
      </c>
      <c r="O26" s="60" t="s">
        <v>187</v>
      </c>
      <c r="P26" s="108">
        <v>6.9999999999999999E-4</v>
      </c>
      <c r="Q26" s="38">
        <f>P26*N26</f>
        <v>0.13999999999999999</v>
      </c>
      <c r="R26" s="83"/>
      <c r="S26" s="59"/>
    </row>
    <row r="27" spans="1:19" s="96" customFormat="1" ht="36" x14ac:dyDescent="0.25">
      <c r="A27" s="95"/>
      <c r="B27" s="47">
        <f t="shared" si="0"/>
        <v>18</v>
      </c>
      <c r="C27" s="54" t="s">
        <v>16</v>
      </c>
      <c r="D27" s="51" t="s">
        <v>37</v>
      </c>
      <c r="E27" s="51" t="s">
        <v>66</v>
      </c>
      <c r="F27" s="51" t="s">
        <v>90</v>
      </c>
      <c r="G27" s="51" t="s">
        <v>114</v>
      </c>
      <c r="H27" s="51" t="s">
        <v>132</v>
      </c>
      <c r="I27" s="51" t="s">
        <v>185</v>
      </c>
      <c r="J27" s="51" t="s">
        <v>153</v>
      </c>
      <c r="K27" s="51" t="s">
        <v>173</v>
      </c>
      <c r="L27" s="51">
        <v>2</v>
      </c>
      <c r="M27" s="37">
        <f t="shared" si="1"/>
        <v>200</v>
      </c>
      <c r="N27" s="51">
        <v>250</v>
      </c>
      <c r="O27" s="61" t="s">
        <v>187</v>
      </c>
      <c r="P27" s="102">
        <v>4.5999999999999999E-3</v>
      </c>
      <c r="Q27" s="52">
        <f t="shared" ref="Q27" si="8">P27*N27</f>
        <v>1.1499999999999999</v>
      </c>
      <c r="R27" s="105"/>
      <c r="S27" s="59"/>
    </row>
    <row r="28" spans="1:19" s="96" customFormat="1" x14ac:dyDescent="0.25">
      <c r="A28" s="95"/>
      <c r="B28" s="46">
        <f>ROW(B28) - ROW($B$9)</f>
        <v>19</v>
      </c>
      <c r="C28" s="53" t="s">
        <v>16</v>
      </c>
      <c r="D28" s="37" t="s">
        <v>38</v>
      </c>
      <c r="E28" s="37" t="s">
        <v>67</v>
      </c>
      <c r="F28" s="37" t="s">
        <v>90</v>
      </c>
      <c r="G28" s="37" t="s">
        <v>115</v>
      </c>
      <c r="H28" s="37" t="s">
        <v>125</v>
      </c>
      <c r="I28" s="37" t="s">
        <v>185</v>
      </c>
      <c r="J28" s="37" t="s">
        <v>154</v>
      </c>
      <c r="K28" s="37" t="s">
        <v>174</v>
      </c>
      <c r="L28" s="37">
        <v>4</v>
      </c>
      <c r="M28" s="37">
        <f t="shared" si="1"/>
        <v>400</v>
      </c>
      <c r="N28" s="37">
        <v>500</v>
      </c>
      <c r="O28" s="60" t="s">
        <v>187</v>
      </c>
      <c r="P28" s="108">
        <v>8.9999999999999998E-4</v>
      </c>
      <c r="Q28" s="38">
        <f>P28*N28</f>
        <v>0.45</v>
      </c>
      <c r="R28" s="83"/>
      <c r="S28" s="59"/>
    </row>
    <row r="29" spans="1:19" s="96" customFormat="1" ht="25.5" x14ac:dyDescent="0.25">
      <c r="A29" s="95"/>
      <c r="B29" s="47">
        <f t="shared" si="0"/>
        <v>20</v>
      </c>
      <c r="C29" s="54" t="s">
        <v>17</v>
      </c>
      <c r="D29" s="51" t="s">
        <v>39</v>
      </c>
      <c r="E29" s="51" t="s">
        <v>68</v>
      </c>
      <c r="F29" s="51" t="s">
        <v>91</v>
      </c>
      <c r="G29" s="51" t="s">
        <v>116</v>
      </c>
      <c r="H29" s="51" t="s">
        <v>133</v>
      </c>
      <c r="I29" s="51" t="s">
        <v>185</v>
      </c>
      <c r="J29" s="51" t="s">
        <v>155</v>
      </c>
      <c r="K29" s="51" t="s">
        <v>185</v>
      </c>
      <c r="L29" s="51">
        <v>1</v>
      </c>
      <c r="M29" s="37">
        <f t="shared" si="1"/>
        <v>100</v>
      </c>
      <c r="N29" s="51">
        <v>105</v>
      </c>
      <c r="O29" s="61" t="s">
        <v>187</v>
      </c>
      <c r="P29" s="102">
        <v>0.2429</v>
      </c>
      <c r="Q29" s="52">
        <f t="shared" ref="Q29" si="9">P29*N29</f>
        <v>25.5045</v>
      </c>
      <c r="R29" s="105"/>
      <c r="S29" s="59"/>
    </row>
    <row r="30" spans="1:19" s="96" customFormat="1" ht="36" x14ac:dyDescent="0.25">
      <c r="A30" s="95"/>
      <c r="B30" s="46">
        <f>ROW(B30) - ROW($B$9)</f>
        <v>21</v>
      </c>
      <c r="C30" s="53" t="s">
        <v>18</v>
      </c>
      <c r="D30" s="37" t="s">
        <v>40</v>
      </c>
      <c r="E30" s="37" t="s">
        <v>69</v>
      </c>
      <c r="F30" s="37" t="s">
        <v>92</v>
      </c>
      <c r="G30" s="37" t="s">
        <v>117</v>
      </c>
      <c r="H30" s="37" t="s">
        <v>134</v>
      </c>
      <c r="I30" s="37" t="s">
        <v>185</v>
      </c>
      <c r="J30" s="37" t="s">
        <v>156</v>
      </c>
      <c r="K30" s="37" t="s">
        <v>185</v>
      </c>
      <c r="L30" s="37">
        <v>1</v>
      </c>
      <c r="M30" s="37">
        <f t="shared" si="1"/>
        <v>100</v>
      </c>
      <c r="N30" s="37">
        <v>101</v>
      </c>
      <c r="O30" s="60" t="s">
        <v>187</v>
      </c>
      <c r="P30" s="108">
        <v>0.50119999999999998</v>
      </c>
      <c r="Q30" s="38">
        <f>P30*N30</f>
        <v>50.621199999999995</v>
      </c>
      <c r="R30" s="83"/>
      <c r="S30" s="59"/>
    </row>
    <row r="31" spans="1:19" s="96" customFormat="1" ht="24" x14ac:dyDescent="0.25">
      <c r="A31" s="95"/>
      <c r="B31" s="47">
        <f t="shared" si="0"/>
        <v>22</v>
      </c>
      <c r="C31" s="54" t="s">
        <v>18</v>
      </c>
      <c r="D31" s="51" t="s">
        <v>41</v>
      </c>
      <c r="E31" s="51" t="s">
        <v>70</v>
      </c>
      <c r="F31" s="51" t="s">
        <v>93</v>
      </c>
      <c r="G31" s="51" t="s">
        <v>118</v>
      </c>
      <c r="H31" s="51" t="s">
        <v>135</v>
      </c>
      <c r="I31" s="51" t="s">
        <v>185</v>
      </c>
      <c r="J31" s="51" t="s">
        <v>185</v>
      </c>
      <c r="K31" s="51" t="s">
        <v>185</v>
      </c>
      <c r="L31" s="51">
        <v>1</v>
      </c>
      <c r="M31" s="37">
        <f t="shared" si="1"/>
        <v>100</v>
      </c>
      <c r="N31" s="51">
        <v>101</v>
      </c>
      <c r="O31" s="60" t="s">
        <v>210</v>
      </c>
      <c r="P31" s="102">
        <v>2.5</v>
      </c>
      <c r="Q31" s="52">
        <f t="shared" ref="Q31" si="10">P31*N31</f>
        <v>252.5</v>
      </c>
      <c r="R31" s="105"/>
      <c r="S31" s="59"/>
    </row>
    <row r="32" spans="1:19" s="96" customFormat="1" ht="24" x14ac:dyDescent="0.25">
      <c r="A32" s="95"/>
      <c r="B32" s="46">
        <f>ROW(B32) - ROW($B$9)</f>
        <v>23</v>
      </c>
      <c r="C32" s="53" t="s">
        <v>18</v>
      </c>
      <c r="D32" s="37" t="s">
        <v>42</v>
      </c>
      <c r="E32" s="37" t="s">
        <v>71</v>
      </c>
      <c r="F32" s="37" t="s">
        <v>94</v>
      </c>
      <c r="G32" s="37" t="s">
        <v>119</v>
      </c>
      <c r="H32" s="37" t="s">
        <v>136</v>
      </c>
      <c r="I32" s="37" t="s">
        <v>185</v>
      </c>
      <c r="J32" s="37" t="s">
        <v>158</v>
      </c>
      <c r="K32" s="51" t="s">
        <v>185</v>
      </c>
      <c r="L32" s="37">
        <v>1</v>
      </c>
      <c r="M32" s="37">
        <f t="shared" si="1"/>
        <v>100</v>
      </c>
      <c r="N32" s="37">
        <v>105</v>
      </c>
      <c r="O32" s="60" t="s">
        <v>187</v>
      </c>
      <c r="P32" s="108">
        <v>6.4000000000000001E-2</v>
      </c>
      <c r="Q32" s="38">
        <f>P32*N32</f>
        <v>6.72</v>
      </c>
      <c r="R32" s="83"/>
      <c r="S32" s="59"/>
    </row>
    <row r="33" spans="1:19" s="96" customFormat="1" ht="24" x14ac:dyDescent="0.25">
      <c r="A33" s="95"/>
      <c r="B33" s="47">
        <f t="shared" si="0"/>
        <v>24</v>
      </c>
      <c r="C33" s="54" t="s">
        <v>18</v>
      </c>
      <c r="D33" s="51" t="s">
        <v>43</v>
      </c>
      <c r="E33" s="51" t="s">
        <v>72</v>
      </c>
      <c r="F33" s="51" t="s">
        <v>95</v>
      </c>
      <c r="G33" s="51" t="s">
        <v>181</v>
      </c>
      <c r="H33" s="51" t="s">
        <v>137</v>
      </c>
      <c r="I33" s="51" t="s">
        <v>185</v>
      </c>
      <c r="J33" s="51" t="s">
        <v>182</v>
      </c>
      <c r="K33" s="37" t="s">
        <v>185</v>
      </c>
      <c r="L33" s="51">
        <v>1</v>
      </c>
      <c r="M33" s="37">
        <f t="shared" si="1"/>
        <v>100</v>
      </c>
      <c r="N33" s="51">
        <v>101</v>
      </c>
      <c r="O33" s="61" t="s">
        <v>187</v>
      </c>
      <c r="P33" s="102">
        <v>0.5091</v>
      </c>
      <c r="Q33" s="52">
        <f t="shared" ref="Q33" si="11">P33*N33</f>
        <v>51.4191</v>
      </c>
      <c r="R33" s="105"/>
      <c r="S33" s="59"/>
    </row>
    <row r="34" spans="1:19" s="96" customFormat="1" ht="24" x14ac:dyDescent="0.25">
      <c r="A34" s="95"/>
      <c r="B34" s="46">
        <f>ROW(B34) - ROW($B$9)</f>
        <v>25</v>
      </c>
      <c r="C34" s="53" t="s">
        <v>18</v>
      </c>
      <c r="D34" s="37" t="s">
        <v>44</v>
      </c>
      <c r="E34" s="37" t="s">
        <v>73</v>
      </c>
      <c r="F34" s="37" t="s">
        <v>96</v>
      </c>
      <c r="G34" s="37" t="s">
        <v>120</v>
      </c>
      <c r="H34" s="37" t="s">
        <v>136</v>
      </c>
      <c r="I34" s="37" t="s">
        <v>185</v>
      </c>
      <c r="J34" s="37" t="s">
        <v>159</v>
      </c>
      <c r="K34" s="51" t="s">
        <v>185</v>
      </c>
      <c r="L34" s="37">
        <v>1</v>
      </c>
      <c r="M34" s="37">
        <f t="shared" si="1"/>
        <v>100</v>
      </c>
      <c r="N34" s="37">
        <v>105</v>
      </c>
      <c r="O34" s="60" t="s">
        <v>187</v>
      </c>
      <c r="P34" s="108">
        <v>0.11559999999999999</v>
      </c>
      <c r="Q34" s="38">
        <f>P34*N34</f>
        <v>12.138</v>
      </c>
      <c r="R34" s="83"/>
      <c r="S34" s="59"/>
    </row>
    <row r="35" spans="1:19" s="96" customFormat="1" ht="24" x14ac:dyDescent="0.25">
      <c r="A35" s="95"/>
      <c r="B35" s="47">
        <f t="shared" si="0"/>
        <v>26</v>
      </c>
      <c r="C35" s="54" t="s">
        <v>18</v>
      </c>
      <c r="D35" s="51" t="s">
        <v>45</v>
      </c>
      <c r="E35" s="51" t="s">
        <v>74</v>
      </c>
      <c r="F35" s="51" t="s">
        <v>97</v>
      </c>
      <c r="G35" s="51" t="s">
        <v>97</v>
      </c>
      <c r="H35" s="51" t="s">
        <v>138</v>
      </c>
      <c r="I35" s="51" t="s">
        <v>185</v>
      </c>
      <c r="J35" s="51" t="s">
        <v>185</v>
      </c>
      <c r="K35" s="51" t="s">
        <v>185</v>
      </c>
      <c r="L35" s="51">
        <v>1</v>
      </c>
      <c r="M35" s="37">
        <f t="shared" si="1"/>
        <v>100</v>
      </c>
      <c r="N35" s="51">
        <v>101</v>
      </c>
      <c r="O35" s="61" t="s">
        <v>210</v>
      </c>
      <c r="P35" s="102">
        <v>10.477069999999999</v>
      </c>
      <c r="Q35" s="52">
        <f t="shared" ref="Q35" si="12">P35*N35</f>
        <v>1058.18407</v>
      </c>
      <c r="R35" s="105"/>
      <c r="S35" s="59"/>
    </row>
    <row r="36" spans="1:19" s="96" customFormat="1" ht="24" x14ac:dyDescent="0.25">
      <c r="A36" s="95"/>
      <c r="B36" s="46">
        <f>ROW(B36) - ROW($B$9)</f>
        <v>27</v>
      </c>
      <c r="C36" s="53" t="s">
        <v>18</v>
      </c>
      <c r="D36" s="37" t="s">
        <v>46</v>
      </c>
      <c r="E36" s="37" t="s">
        <v>75</v>
      </c>
      <c r="F36" s="37" t="s">
        <v>98</v>
      </c>
      <c r="G36" s="37" t="s">
        <v>121</v>
      </c>
      <c r="H36" s="37" t="s">
        <v>137</v>
      </c>
      <c r="I36" s="37" t="s">
        <v>185</v>
      </c>
      <c r="J36" s="37" t="s">
        <v>160</v>
      </c>
      <c r="K36" s="37" t="s">
        <v>185</v>
      </c>
      <c r="L36" s="37">
        <v>1</v>
      </c>
      <c r="M36" s="37">
        <f t="shared" si="1"/>
        <v>100</v>
      </c>
      <c r="N36" s="37">
        <v>101</v>
      </c>
      <c r="O36" s="60" t="s">
        <v>187</v>
      </c>
      <c r="P36" s="108">
        <v>0.2848</v>
      </c>
      <c r="Q36" s="38">
        <f>P36*N36</f>
        <v>28.764800000000001</v>
      </c>
      <c r="R36" s="83"/>
      <c r="S36" s="59"/>
    </row>
    <row r="37" spans="1:19" s="96" customFormat="1" ht="24" x14ac:dyDescent="0.25">
      <c r="A37" s="95"/>
      <c r="B37" s="47">
        <f t="shared" si="0"/>
        <v>28</v>
      </c>
      <c r="C37" s="54" t="s">
        <v>18</v>
      </c>
      <c r="D37" s="51" t="s">
        <v>47</v>
      </c>
      <c r="E37" s="51" t="s">
        <v>76</v>
      </c>
      <c r="F37" s="51" t="s">
        <v>99</v>
      </c>
      <c r="G37" s="51" t="s">
        <v>122</v>
      </c>
      <c r="H37" s="51" t="s">
        <v>139</v>
      </c>
      <c r="I37" s="51"/>
      <c r="J37" s="51" t="s">
        <v>161</v>
      </c>
      <c r="K37" s="51" t="s">
        <v>185</v>
      </c>
      <c r="L37" s="51">
        <v>1</v>
      </c>
      <c r="M37" s="37">
        <f t="shared" si="1"/>
        <v>100</v>
      </c>
      <c r="N37" s="51">
        <v>101</v>
      </c>
      <c r="O37" s="61" t="s">
        <v>187</v>
      </c>
      <c r="P37" s="102">
        <v>2.073</v>
      </c>
      <c r="Q37" s="52">
        <f t="shared" ref="Q37" si="13">P37*N37</f>
        <v>209.37299999999999</v>
      </c>
      <c r="R37" s="105"/>
      <c r="S37" s="59"/>
    </row>
    <row r="38" spans="1:19" s="96" customFormat="1" ht="24.75" thickBot="1" x14ac:dyDescent="0.3">
      <c r="A38" s="95"/>
      <c r="B38" s="46">
        <f>ROW(B38) - ROW($B$9)</f>
        <v>29</v>
      </c>
      <c r="C38" s="53" t="s">
        <v>18</v>
      </c>
      <c r="D38" s="37" t="s">
        <v>48</v>
      </c>
      <c r="E38" s="37" t="s">
        <v>77</v>
      </c>
      <c r="F38" s="37" t="s">
        <v>100</v>
      </c>
      <c r="G38" s="37" t="s">
        <v>123</v>
      </c>
      <c r="H38" s="37" t="s">
        <v>139</v>
      </c>
      <c r="I38" s="37"/>
      <c r="J38" s="37" t="s">
        <v>162</v>
      </c>
      <c r="K38" s="89" t="s">
        <v>185</v>
      </c>
      <c r="L38" s="37">
        <v>1</v>
      </c>
      <c r="M38" s="37">
        <f t="shared" si="1"/>
        <v>100</v>
      </c>
      <c r="N38" s="89">
        <v>101</v>
      </c>
      <c r="O38" s="60" t="s">
        <v>187</v>
      </c>
      <c r="P38" s="100">
        <v>1.1185</v>
      </c>
      <c r="Q38" s="52">
        <f>P38*N38</f>
        <v>112.96850000000001</v>
      </c>
      <c r="R38" s="80"/>
      <c r="S38" s="59"/>
    </row>
    <row r="39" spans="1:19" s="96" customFormat="1" ht="24" x14ac:dyDescent="0.25">
      <c r="A39" s="95"/>
      <c r="B39" s="46">
        <f t="shared" ref="B39:B41" si="14">ROW(B39) - ROW($B$9)</f>
        <v>30</v>
      </c>
      <c r="C39" s="81" t="s">
        <v>203</v>
      </c>
      <c r="D39" s="37" t="s">
        <v>185</v>
      </c>
      <c r="E39" s="82" t="s">
        <v>204</v>
      </c>
      <c r="F39" s="37" t="s">
        <v>185</v>
      </c>
      <c r="G39" s="82" t="s">
        <v>185</v>
      </c>
      <c r="H39" s="37" t="s">
        <v>185</v>
      </c>
      <c r="I39" s="37" t="s">
        <v>185</v>
      </c>
      <c r="J39" s="85" t="s">
        <v>185</v>
      </c>
      <c r="K39" s="91" t="s">
        <v>185</v>
      </c>
      <c r="L39" s="83">
        <v>1</v>
      </c>
      <c r="M39" s="37">
        <f t="shared" si="1"/>
        <v>100</v>
      </c>
      <c r="N39" s="91">
        <v>101</v>
      </c>
      <c r="O39" s="84" t="s">
        <v>208</v>
      </c>
      <c r="P39" s="101">
        <v>3.29</v>
      </c>
      <c r="Q39" s="52">
        <f t="shared" ref="Q39:Q41" si="15">P39*N39</f>
        <v>332.29</v>
      </c>
      <c r="R39" s="104"/>
      <c r="S39" s="91"/>
    </row>
    <row r="40" spans="1:19" s="96" customFormat="1" ht="60" x14ac:dyDescent="0.25">
      <c r="A40" s="95"/>
      <c r="B40" s="46">
        <f t="shared" si="14"/>
        <v>31</v>
      </c>
      <c r="C40" s="81" t="s">
        <v>203</v>
      </c>
      <c r="D40" s="37" t="s">
        <v>185</v>
      </c>
      <c r="E40" s="82" t="s">
        <v>205</v>
      </c>
      <c r="F40" s="37" t="s">
        <v>185</v>
      </c>
      <c r="G40" s="82" t="s">
        <v>185</v>
      </c>
      <c r="H40" s="37" t="s">
        <v>185</v>
      </c>
      <c r="I40" s="37" t="s">
        <v>185</v>
      </c>
      <c r="J40" s="85" t="s">
        <v>185</v>
      </c>
      <c r="K40" s="51"/>
      <c r="L40" s="83">
        <v>1</v>
      </c>
      <c r="M40" s="37">
        <f t="shared" si="1"/>
        <v>100</v>
      </c>
      <c r="N40" s="51">
        <v>101</v>
      </c>
      <c r="O40" s="115" t="s">
        <v>208</v>
      </c>
      <c r="P40" s="102">
        <v>3.15</v>
      </c>
      <c r="Q40" s="52">
        <f t="shared" si="15"/>
        <v>318.14999999999998</v>
      </c>
      <c r="R40" s="105"/>
      <c r="S40" s="51"/>
    </row>
    <row r="41" spans="1:19" s="96" customFormat="1" ht="48.75" thickBot="1" x14ac:dyDescent="0.3">
      <c r="A41" s="95"/>
      <c r="B41" s="46">
        <f t="shared" si="14"/>
        <v>32</v>
      </c>
      <c r="C41" s="81" t="s">
        <v>203</v>
      </c>
      <c r="D41" s="37" t="s">
        <v>185</v>
      </c>
      <c r="E41" s="82" t="s">
        <v>206</v>
      </c>
      <c r="F41" s="37" t="s">
        <v>185</v>
      </c>
      <c r="G41" s="82" t="s">
        <v>207</v>
      </c>
      <c r="H41" s="37" t="s">
        <v>185</v>
      </c>
      <c r="I41" s="37" t="s">
        <v>185</v>
      </c>
      <c r="J41" s="85" t="s">
        <v>185</v>
      </c>
      <c r="K41" s="39" t="s">
        <v>185</v>
      </c>
      <c r="L41" s="83">
        <v>1</v>
      </c>
      <c r="M41" s="37">
        <f t="shared" si="1"/>
        <v>100</v>
      </c>
      <c r="N41" s="39">
        <v>1</v>
      </c>
      <c r="O41" s="115" t="s">
        <v>209</v>
      </c>
      <c r="P41" s="103">
        <v>33.950000000000003</v>
      </c>
      <c r="Q41" s="52">
        <f t="shared" si="15"/>
        <v>33.950000000000003</v>
      </c>
      <c r="R41" s="106"/>
      <c r="S41" s="39"/>
    </row>
    <row r="42" spans="1:19" ht="19.5" thickBot="1" x14ac:dyDescent="0.3">
      <c r="A42" s="1"/>
      <c r="B42" s="40"/>
      <c r="C42" s="41"/>
      <c r="D42" s="42"/>
      <c r="E42" s="43"/>
      <c r="F42" s="44"/>
      <c r="G42" s="45"/>
      <c r="H42" s="44"/>
      <c r="I42" s="45"/>
      <c r="J42" s="44"/>
      <c r="K42" s="45"/>
      <c r="L42" s="45"/>
      <c r="M42" s="45"/>
      <c r="N42" s="86" t="s">
        <v>5</v>
      </c>
      <c r="O42" s="79"/>
      <c r="P42" s="88"/>
      <c r="Q42" s="90">
        <f>SUM(Q10:Q38)</f>
        <v>1957.40247</v>
      </c>
      <c r="R42" s="74"/>
      <c r="S42" s="75"/>
    </row>
    <row r="43" spans="1:19" ht="19.5" thickBot="1" x14ac:dyDescent="0.3">
      <c r="A43" s="1"/>
      <c r="B43" s="25"/>
      <c r="C43" s="36"/>
      <c r="D43" s="9"/>
      <c r="E43" s="10"/>
      <c r="F43" s="10"/>
      <c r="G43" s="10"/>
      <c r="H43" s="10"/>
      <c r="I43" s="10"/>
      <c r="J43" s="10"/>
      <c r="K43" s="10"/>
      <c r="L43" s="10"/>
      <c r="M43" s="10"/>
      <c r="N43" s="78" t="s">
        <v>6</v>
      </c>
      <c r="O43" s="79"/>
      <c r="P43" s="79"/>
      <c r="Q43" s="49">
        <f>Q42/100</f>
        <v>19.574024699999999</v>
      </c>
      <c r="R43" s="76"/>
      <c r="S43" s="77"/>
    </row>
  </sheetData>
  <mergeCells count="5">
    <mergeCell ref="N42:P42"/>
    <mergeCell ref="R42:S43"/>
    <mergeCell ref="N43:P43"/>
    <mergeCell ref="K1:S1"/>
    <mergeCell ref="S3:S8"/>
  </mergeCells>
  <hyperlinks>
    <hyperlink ref="O10" r:id="rId1"/>
    <hyperlink ref="O11" r:id="rId2"/>
    <hyperlink ref="O13" r:id="rId3"/>
    <hyperlink ref="O14" r:id="rId4"/>
    <hyperlink ref="O15" r:id="rId5"/>
    <hyperlink ref="O16" r:id="rId6"/>
    <hyperlink ref="O21" r:id="rId7"/>
    <hyperlink ref="O22" r:id="rId8"/>
    <hyperlink ref="O23" r:id="rId9"/>
    <hyperlink ref="O24" r:id="rId10"/>
    <hyperlink ref="O25" r:id="rId11"/>
    <hyperlink ref="O26" r:id="rId12"/>
    <hyperlink ref="O27" r:id="rId13"/>
    <hyperlink ref="O28" r:id="rId14"/>
    <hyperlink ref="O29" r:id="rId15"/>
    <hyperlink ref="O30" r:id="rId16"/>
    <hyperlink ref="O32" r:id="rId17"/>
    <hyperlink ref="O33" r:id="rId18"/>
    <hyperlink ref="O34" r:id="rId19"/>
    <hyperlink ref="O36" r:id="rId20"/>
    <hyperlink ref="O37" r:id="rId21"/>
    <hyperlink ref="O38" r:id="rId22"/>
    <hyperlink ref="O12" r:id="rId23"/>
    <hyperlink ref="O41" r:id="rId24"/>
    <hyperlink ref="O40" r:id="rId25"/>
    <hyperlink ref="O39" r:id="rId26"/>
    <hyperlink ref="O35" r:id="rId27"/>
    <hyperlink ref="O18" r:id="rId28" location="nav-specification"/>
  </hyperlinks>
  <pageMargins left="0.7" right="0.7" top="0.75" bottom="0.75" header="0.3" footer="0.3"/>
  <drawing r:id="rId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 Boards</vt:lpstr>
      <vt:lpstr>20 Boards</vt:lpstr>
      <vt:lpstr>50 Boards</vt:lpstr>
      <vt:lpstr>100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2023-08-28T14:13:40Z</dcterms:modified>
</cp:coreProperties>
</file>