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38" i="1" l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40" i="1" l="1"/>
  <c r="Q39" i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<sst xmlns="http://schemas.openxmlformats.org/spreadsheetml/2006/main" count="236" uniqueCount="192">
  <si>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</si>
  <si>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</si>
  <si>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</si>
  <si>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</si>
  <si>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</si>
  <si>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</si>
  <si>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</si>
  <si>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</si>
  <si>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</si>
  <si>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</si>
  <si>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SMD Pad</t>
  </si>
  <si>
    <t>DC Jack Female</t>
  </si>
  <si>
    <t>SMD Pads</t>
  </si>
  <si>
    <t>Inductor</t>
  </si>
  <si>
    <t>RGB LED</t>
  </si>
  <si>
    <t>Mosfet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</si>
  <si>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</si>
  <si>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</si>
  <si>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</si>
  <si>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</si>
  <si>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</si>
  <si>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</si>
  <si>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</si>
  <si>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</si>
  <si>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</t>
  </si>
  <si>
    <t>C6</t>
  </si>
  <si>
    <t>C8</t>
  </si>
  <si>
    <t>J1, J2, J5, J6</t>
  </si>
  <si>
    <t>J3</t>
  </si>
  <si>
    <t>J4</t>
  </si>
  <si>
    <t>J7</t>
  </si>
  <si>
    <t>L1</t>
  </si>
  <si>
    <t>LED1</t>
  </si>
  <si>
    <t>Q1</t>
  </si>
  <si>
    <t>R1, R3, R5, R12, R13</t>
  </si>
  <si>
    <t>R2</t>
  </si>
  <si>
    <t>R4</t>
  </si>
  <si>
    <t>R6, R9</t>
  </si>
  <si>
    <t>R7, R8, 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</si>
  <si>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</si>
  <si>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</si>
  <si>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</si>
  <si>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</si>
  <si>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</si>
  <si>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</si>
  <si>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</si>
  <si>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</si>
  <si>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</si>
  <si>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</si>
  <si>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</si>
  <si>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</si>
  <si>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</si>
  <si>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</si>
  <si>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</si>
  <si>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</si>
  <si>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</si>
  <si>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</si>
  <si>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</si>
  <si>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</si>
  <si>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</si>
  <si>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</si>
  <si>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</si>
  <si>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40V 100mW 100@10mA,1V 200mA 300MHz 300mV@50mA,5mA NPN -55℃~+150℃@(Tj) SOT-723 Bipolar Transistors - BJT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</si>
  <si>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</si>
  <si>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</si>
  <si>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</si>
  <si>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50mW Thick Film Resistors ±0.5% 100kΩ 0201 Chip Resistor - Surface Mount ROHS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</si>
  <si>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</si>
  <si>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</si>
  <si>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</si>
  <si>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</si>
  <si>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</si>
  <si>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</t>
  </si>
  <si>
    <t>MOSFET P-CH 20V 3.6A 3LGA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</si>
  <si>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</si>
  <si>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</si>
  <si>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</si>
  <si>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</si>
  <si>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</si>
  <si>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</si>
  <si>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</si>
  <si>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</si>
  <si>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</si>
  <si>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</si>
  <si>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</si>
  <si>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</si>
  <si>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TC2030-IDC-NL_</t>
  </si>
  <si>
    <t>IND-0806</t>
  </si>
  <si>
    <t>XL-1010RGBC-WS2812B</t>
  </si>
  <si>
    <t>SOT-723</t>
  </si>
  <si>
    <t>Res-0201</t>
  </si>
  <si>
    <t>EVQP7A01P</t>
  </si>
  <si>
    <t>WLCSP-9 (1.22x1.22)</t>
  </si>
  <si>
    <t>WLP-6(0.83x1.24)</t>
  </si>
  <si>
    <t>X2-SON-4(1x1)</t>
  </si>
  <si>
    <t>DFN-6-EP(2x2)</t>
  </si>
  <si>
    <t>PicoStar-3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</si>
  <si>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</si>
  <si>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</si>
  <si>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</si>
  <si>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</si>
  <si>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</si>
  <si>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</si>
  <si>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</si>
  <si>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</si>
  <si>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</si>
  <si>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</si>
  <si>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</si>
  <si>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</si>
  <si>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</si>
  <si>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MMBT3904M</t>
  </si>
  <si>
    <t>RC0201JR-0710KL</t>
  </si>
  <si>
    <t>0201WMF2202TEE</t>
  </si>
  <si>
    <t>0201WMF3302TEE</t>
  </si>
  <si>
    <t>0201WMD1003TEE</t>
  </si>
  <si>
    <t>RC0201FR-074K7L</t>
  </si>
  <si>
    <t>EVQ-P7A01P</t>
  </si>
  <si>
    <t>FAN48610UC50X</t>
  </si>
  <si>
    <t>MAX16150AWT+</t>
  </si>
  <si>
    <t>TLV73330PDQNR</t>
  </si>
  <si>
    <t>CSD25501F3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</si>
  <si>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</si>
  <si>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</si>
  <si>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</si>
  <si>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</si>
  <si>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</si>
  <si>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</si>
  <si>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</si>
  <si>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</si>
  <si>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</si>
  <si>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</si>
  <si>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TECH PUBLIC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</si>
  <si>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</si>
  <si>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</si>
  <si>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</si>
  <si>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</si>
  <si>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</si>
  <si>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</si>
  <si>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</si>
  <si>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</si>
  <si>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LCSC Part Number</t>
  </si>
  <si>
    <t>C190183</t>
  </si>
  <si>
    <t>C315248</t>
  </si>
  <si>
    <t>C109447</t>
  </si>
  <si>
    <t>C605210</t>
  </si>
  <si>
    <t>C2186869</t>
  </si>
  <si>
    <t>C1955164</t>
  </si>
  <si>
    <t>C5182464</t>
  </si>
  <si>
    <t>C160957</t>
  </si>
  <si>
    <t>C5349953</t>
  </si>
  <si>
    <t>C2923360</t>
  </si>
  <si>
    <t>C138117</t>
  </si>
  <si>
    <t>C473469</t>
  </si>
  <si>
    <t>C473534</t>
  </si>
  <si>
    <t>C778396</t>
  </si>
  <si>
    <t>C138135</t>
  </si>
  <si>
    <t>C79167</t>
  </si>
  <si>
    <t>C890712</t>
  </si>
  <si>
    <t>C1019998</t>
  </si>
  <si>
    <t>C2870830</t>
  </si>
  <si>
    <t>C2872196</t>
  </si>
  <si>
    <t>C179628</t>
  </si>
  <si>
    <t>C5368700</t>
  </si>
  <si>
    <t>C171681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</si>
  <si>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</si>
  <si>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</si>
  <si>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</si>
  <si>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</si>
  <si>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</si>
  <si>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</si>
  <si>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</si>
  <si>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</si>
  <si>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</si>
  <si>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</si>
  <si>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100K</t>
  </si>
  <si>
    <t>4.7K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</si>
  <si>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</si>
  <si>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</si>
  <si>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</si>
  <si>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</si>
  <si>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</si>
  <si>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</si>
  <si>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</si>
  <si>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</si>
  <si>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</si>
  <si>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Reviewer Remarks</t>
  </si>
  <si>
    <t>FAN54120MP420X</t>
  </si>
  <si>
    <t>C890816</t>
  </si>
  <si>
    <t>Bill of Materials for Project [BLE_product-v1.0]</t>
  </si>
  <si>
    <t>BLE_product-v1.0]</t>
  </si>
  <si>
    <t>-</t>
  </si>
  <si>
    <t>JTAG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</si>
</sst>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0"/>
  <sheetViews>
    <sheetView tabSelected="1" topLeftCell="A7" workbookViewId="0">
      <selection activeCell="F24" sqref="F2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7" t="s">
        <v>189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177</v>
      </c>
      <c r="J9" s="30" t="s">
        <v>140</v>
      </c>
      <c r="K9" s="30" t="s">
        <v>178</v>
      </c>
      <c r="L9" s="30" t="s">
        <v>176</v>
      </c>
      <c r="M9" s="30" t="s">
        <v>179</v>
      </c>
      <c r="N9" s="30" t="s">
        <v>180</v>
      </c>
      <c r="O9" s="30" t="s">
        <v>181</v>
      </c>
      <c r="P9" s="30" t="s">
        <v>182</v>
      </c>
      <c r="Q9" s="30" t="s">
        <v>183</v>
      </c>
      <c r="R9" s="30" t="s">
        <v>184</v>
      </c>
      <c r="S9" s="30" t="s">
        <v>185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/>
      <c r="J10" s="37" t="s">
        <v>141</v>
      </c>
      <c r="K10" s="37" t="s">
        <v>164</v>
      </c>
      <c r="L10" s="37">
        <v>6</v>
      </c>
      <c r="M10" s="37">
        <f>L10*5</f>
        <v>30</v>
      </c>
      <c r="N10" s="37"/>
      <c r="O10" s="37"/>
      <c r="P10" s="38"/>
      <c r="Q10" s="38">
        <f>P10*N10</f>
        <v>0</v>
      </c>
      <c r="R10" s="37"/>
      <c r="S10" s="50"/>
    </row>
    <row r="11" spans="1:19" x14ac:dyDescent="0.25">
      <c r="A11" s="1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/>
      <c r="J11" s="51" t="s">
        <v>142</v>
      </c>
      <c r="K11" s="51" t="s">
        <v>165</v>
      </c>
      <c r="L11" s="51">
        <v>1</v>
      </c>
      <c r="M11" s="51">
        <f t="shared" ref="M11" si="1">L11*5</f>
        <v>5</v>
      </c>
      <c r="N11" s="51"/>
      <c r="O11" s="51"/>
      <c r="P11" s="52"/>
      <c r="Q11" s="52">
        <f t="shared" ref="Q11" si="2">P11*N11</f>
        <v>0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37" t="s">
        <v>104</v>
      </c>
      <c r="H12" s="37" t="s">
        <v>125</v>
      </c>
      <c r="I12" s="37"/>
      <c r="J12" s="37" t="s">
        <v>143</v>
      </c>
      <c r="K12" s="37" t="s">
        <v>166</v>
      </c>
      <c r="L12" s="37">
        <v>1</v>
      </c>
      <c r="M12" s="37">
        <f>L12*5</f>
        <v>5</v>
      </c>
      <c r="N12" s="37"/>
      <c r="O12" s="37"/>
      <c r="P12" s="38"/>
      <c r="Q12" s="38">
        <f>P12*N12</f>
        <v>0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/>
      <c r="J13" s="51" t="s">
        <v>144</v>
      </c>
      <c r="K13" s="51" t="s">
        <v>167</v>
      </c>
      <c r="L13" s="51">
        <v>1</v>
      </c>
      <c r="M13" s="51">
        <f t="shared" ref="M13" si="3">L13*5</f>
        <v>5</v>
      </c>
      <c r="N13" s="51"/>
      <c r="O13" s="51"/>
      <c r="P13" s="52"/>
      <c r="Q13" s="52">
        <f t="shared" ref="Q13" si="4">P13*N13</f>
        <v>0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/>
      <c r="J14" s="37" t="s">
        <v>145</v>
      </c>
      <c r="K14" s="37" t="s">
        <v>168</v>
      </c>
      <c r="L14" s="37">
        <v>1</v>
      </c>
      <c r="M14" s="37">
        <f>L14*5</f>
        <v>5</v>
      </c>
      <c r="N14" s="37"/>
      <c r="O14" s="37"/>
      <c r="P14" s="38"/>
      <c r="Q14" s="38">
        <f>P14*N14</f>
        <v>0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82</v>
      </c>
      <c r="G15" s="51" t="s">
        <v>82</v>
      </c>
      <c r="H15" s="51" t="s">
        <v>127</v>
      </c>
      <c r="I15" s="51"/>
      <c r="J15" s="51" t="s">
        <v>146</v>
      </c>
      <c r="K15" s="51" t="s">
        <v>169</v>
      </c>
      <c r="L15" s="51">
        <v>1</v>
      </c>
      <c r="M15" s="51">
        <f t="shared" ref="M15" si="5">L15*5</f>
        <v>5</v>
      </c>
      <c r="N15" s="51"/>
      <c r="O15" s="51"/>
      <c r="P15" s="52"/>
      <c r="Q15" s="52">
        <f t="shared" ref="Q15" si="6">P15*N15</f>
        <v>0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/>
      <c r="J16" s="37" t="s">
        <v>147</v>
      </c>
      <c r="K16" s="37" t="s">
        <v>167</v>
      </c>
      <c r="L16" s="37">
        <v>1</v>
      </c>
      <c r="M16" s="37">
        <f>L16*5</f>
        <v>5</v>
      </c>
      <c r="N16" s="37"/>
      <c r="O16" s="37"/>
      <c r="P16" s="38"/>
      <c r="Q16" s="38">
        <f>P16*N16</f>
        <v>0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10</v>
      </c>
      <c r="D17" s="51" t="s">
        <v>27</v>
      </c>
      <c r="E17" s="51" t="s">
        <v>57</v>
      </c>
      <c r="F17" s="51" t="s">
        <v>83</v>
      </c>
      <c r="G17" s="51" t="s">
        <v>83</v>
      </c>
      <c r="H17" s="51"/>
      <c r="I17" s="51"/>
      <c r="J17" s="51"/>
      <c r="K17" s="51"/>
      <c r="L17" s="51">
        <v>4</v>
      </c>
      <c r="M17" s="51">
        <f t="shared" ref="M17" si="7">L17*5</f>
        <v>20</v>
      </c>
      <c r="N17" s="51"/>
      <c r="O17" s="51"/>
      <c r="P17" s="52"/>
      <c r="Q17" s="52">
        <f t="shared" ref="Q17" si="8">P17*N17</f>
        <v>0</v>
      </c>
      <c r="R17" s="51"/>
      <c r="S17" s="59"/>
    </row>
    <row r="18" spans="1:19" ht="24" x14ac:dyDescent="0.25">
      <c r="A18" s="1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/>
      <c r="J18" s="37"/>
      <c r="K18" s="37"/>
      <c r="L18" s="37">
        <v>1</v>
      </c>
      <c r="M18" s="37">
        <f>L18*5</f>
        <v>5</v>
      </c>
      <c r="N18" s="37"/>
      <c r="O18" s="37"/>
      <c r="P18" s="38"/>
      <c r="Q18" s="38">
        <f>P18*N18</f>
        <v>0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12</v>
      </c>
      <c r="D19" s="51" t="s">
        <v>29</v>
      </c>
      <c r="E19" s="51" t="s">
        <v>59</v>
      </c>
      <c r="F19" s="51" t="s">
        <v>85</v>
      </c>
      <c r="G19" s="51" t="s">
        <v>108</v>
      </c>
      <c r="H19" s="51"/>
      <c r="I19" s="51"/>
      <c r="J19" s="51"/>
      <c r="K19" s="51"/>
      <c r="L19" s="51">
        <v>1</v>
      </c>
      <c r="M19" s="51">
        <f t="shared" ref="M19" si="9">L19*5</f>
        <v>5</v>
      </c>
      <c r="N19" s="51"/>
      <c r="O19" s="51"/>
      <c r="P19" s="52"/>
      <c r="Q19" s="52">
        <f t="shared" ref="Q19" si="10">P19*N19</f>
        <v>0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191</v>
      </c>
      <c r="D20" s="37" t="s">
        <v>30</v>
      </c>
      <c r="E20" s="37" t="s">
        <v>190</v>
      </c>
      <c r="F20" s="37" t="s">
        <v>86</v>
      </c>
      <c r="G20" s="37" t="s">
        <v>190</v>
      </c>
      <c r="H20" s="37"/>
      <c r="I20" s="37"/>
      <c r="J20" s="37"/>
      <c r="K20" s="37"/>
      <c r="L20" s="37">
        <v>1</v>
      </c>
      <c r="M20" s="37">
        <f>L20*5</f>
        <v>5</v>
      </c>
      <c r="N20" s="37"/>
      <c r="O20" s="37"/>
      <c r="P20" s="38"/>
      <c r="Q20" s="38">
        <f>P20*N20</f>
        <v>0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/>
      <c r="J21" s="51" t="s">
        <v>148</v>
      </c>
      <c r="K21" s="51" t="s">
        <v>170</v>
      </c>
      <c r="L21" s="51">
        <v>1</v>
      </c>
      <c r="M21" s="51">
        <f t="shared" ref="M21" si="11">L21*5</f>
        <v>5</v>
      </c>
      <c r="N21" s="51"/>
      <c r="O21" s="51"/>
      <c r="P21" s="52"/>
      <c r="Q21" s="52">
        <f t="shared" ref="Q21" si="12">P21*N21</f>
        <v>0</v>
      </c>
      <c r="R21" s="51"/>
      <c r="S21" s="59"/>
    </row>
    <row r="22" spans="1:19" ht="36" x14ac:dyDescent="0.25">
      <c r="A22" s="1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88</v>
      </c>
      <c r="G22" s="37" t="s">
        <v>88</v>
      </c>
      <c r="H22" s="37" t="s">
        <v>130</v>
      </c>
      <c r="I22" s="37"/>
      <c r="J22" s="37" t="s">
        <v>149</v>
      </c>
      <c r="K22" s="37"/>
      <c r="L22" s="37">
        <v>1</v>
      </c>
      <c r="M22" s="37">
        <f>L22*5</f>
        <v>5</v>
      </c>
      <c r="N22" s="37"/>
      <c r="O22" s="37"/>
      <c r="P22" s="38"/>
      <c r="Q22" s="38">
        <f>P22*N22</f>
        <v>0</v>
      </c>
      <c r="R22" s="37"/>
      <c r="S22" s="59"/>
    </row>
    <row r="23" spans="1:19" ht="48" x14ac:dyDescent="0.25">
      <c r="A23" s="1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/>
      <c r="J23" s="51" t="s">
        <v>150</v>
      </c>
      <c r="K23" s="51"/>
      <c r="L23" s="51">
        <v>1</v>
      </c>
      <c r="M23" s="51">
        <f t="shared" ref="M23" si="13">L23*5</f>
        <v>5</v>
      </c>
      <c r="N23" s="51"/>
      <c r="O23" s="51"/>
      <c r="P23" s="52"/>
      <c r="Q23" s="52">
        <f t="shared" ref="Q23" si="14">P23*N23</f>
        <v>0</v>
      </c>
      <c r="R23" s="51"/>
      <c r="S23" s="59"/>
    </row>
    <row r="24" spans="1:19" x14ac:dyDescent="0.25">
      <c r="A24" s="1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/>
      <c r="J24" s="37" t="s">
        <v>151</v>
      </c>
      <c r="K24" s="37" t="s">
        <v>171</v>
      </c>
      <c r="L24" s="37">
        <v>5</v>
      </c>
      <c r="M24" s="37">
        <f>L24*5</f>
        <v>25</v>
      </c>
      <c r="N24" s="37"/>
      <c r="O24" s="37"/>
      <c r="P24" s="38"/>
      <c r="Q24" s="38">
        <f>P24*N24</f>
        <v>0</v>
      </c>
      <c r="R24" s="37"/>
      <c r="S24" s="59"/>
    </row>
    <row r="25" spans="1:19" ht="36" x14ac:dyDescent="0.25">
      <c r="A25" s="1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/>
      <c r="J25" s="51" t="s">
        <v>152</v>
      </c>
      <c r="K25" s="51" t="s">
        <v>172</v>
      </c>
      <c r="L25" s="51">
        <v>1</v>
      </c>
      <c r="M25" s="51">
        <f t="shared" ref="M25" si="15">L25*5</f>
        <v>5</v>
      </c>
      <c r="N25" s="51"/>
      <c r="O25" s="51"/>
      <c r="P25" s="52"/>
      <c r="Q25" s="52">
        <f t="shared" ref="Q25" si="16">P25*N25</f>
        <v>0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/>
      <c r="J26" s="37" t="s">
        <v>153</v>
      </c>
      <c r="K26" s="37" t="s">
        <v>173</v>
      </c>
      <c r="L26" s="37">
        <v>1</v>
      </c>
      <c r="M26" s="37">
        <f>L26*5</f>
        <v>5</v>
      </c>
      <c r="N26" s="37"/>
      <c r="O26" s="37"/>
      <c r="P26" s="38"/>
      <c r="Q26" s="38">
        <f>P26*N26</f>
        <v>0</v>
      </c>
      <c r="R26" s="37"/>
      <c r="S26" s="59"/>
    </row>
    <row r="27" spans="1:19" ht="36" x14ac:dyDescent="0.25">
      <c r="A27" s="1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/>
      <c r="J27" s="51" t="s">
        <v>154</v>
      </c>
      <c r="K27" s="51" t="s">
        <v>174</v>
      </c>
      <c r="L27" s="51">
        <v>2</v>
      </c>
      <c r="M27" s="51">
        <f t="shared" ref="M27" si="17">L27*5</f>
        <v>10</v>
      </c>
      <c r="N27" s="51"/>
      <c r="O27" s="51"/>
      <c r="P27" s="52"/>
      <c r="Q27" s="52">
        <f t="shared" ref="Q27" si="18">P27*N27</f>
        <v>0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/>
      <c r="J28" s="37" t="s">
        <v>155</v>
      </c>
      <c r="K28" s="37" t="s">
        <v>175</v>
      </c>
      <c r="L28" s="37">
        <v>4</v>
      </c>
      <c r="M28" s="37">
        <f>L28*5</f>
        <v>20</v>
      </c>
      <c r="N28" s="37"/>
      <c r="O28" s="37"/>
      <c r="P28" s="38"/>
      <c r="Q28" s="38">
        <f>P28*N28</f>
        <v>0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/>
      <c r="J29" s="51" t="s">
        <v>156</v>
      </c>
      <c r="K29" s="51"/>
      <c r="L29" s="51">
        <v>1</v>
      </c>
      <c r="M29" s="51">
        <f t="shared" ref="M29" si="19">L29*5</f>
        <v>5</v>
      </c>
      <c r="N29" s="51"/>
      <c r="O29" s="51"/>
      <c r="P29" s="52"/>
      <c r="Q29" s="52">
        <f t="shared" ref="Q29" si="20">P29*N29</f>
        <v>0</v>
      </c>
      <c r="R29" s="51"/>
      <c r="S29" s="59"/>
    </row>
    <row r="30" spans="1:19" ht="24" x14ac:dyDescent="0.25">
      <c r="A30" s="1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/>
      <c r="J30" s="37" t="s">
        <v>157</v>
      </c>
      <c r="K30" s="37"/>
      <c r="L30" s="37">
        <v>1</v>
      </c>
      <c r="M30" s="37">
        <f>L30*5</f>
        <v>5</v>
      </c>
      <c r="N30" s="37"/>
      <c r="O30" s="37"/>
      <c r="P30" s="38"/>
      <c r="Q30" s="38">
        <f>P30*N30</f>
        <v>0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/>
      <c r="J31" s="51" t="s">
        <v>158</v>
      </c>
      <c r="K31" s="51"/>
      <c r="L31" s="51">
        <v>1</v>
      </c>
      <c r="M31" s="51">
        <f t="shared" ref="M31" si="21">L31*5</f>
        <v>5</v>
      </c>
      <c r="N31" s="51"/>
      <c r="O31" s="51"/>
      <c r="P31" s="52"/>
      <c r="Q31" s="52">
        <f t="shared" ref="Q31" si="22">P31*N31</f>
        <v>0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/>
      <c r="J32" s="37" t="s">
        <v>159</v>
      </c>
      <c r="K32" s="37"/>
      <c r="L32" s="37">
        <v>1</v>
      </c>
      <c r="M32" s="37">
        <f>L32*5</f>
        <v>5</v>
      </c>
      <c r="N32" s="37"/>
      <c r="O32" s="37"/>
      <c r="P32" s="38"/>
      <c r="Q32" s="38">
        <f>P32*N32</f>
        <v>0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186</v>
      </c>
      <c r="H33" s="51" t="s">
        <v>137</v>
      </c>
      <c r="I33" s="51"/>
      <c r="J33" s="51" t="s">
        <v>187</v>
      </c>
      <c r="K33" s="51"/>
      <c r="L33" s="51">
        <v>1</v>
      </c>
      <c r="M33" s="51">
        <f t="shared" ref="M33" si="23">L33*5</f>
        <v>5</v>
      </c>
      <c r="N33" s="51"/>
      <c r="O33" s="51"/>
      <c r="P33" s="52"/>
      <c r="Q33" s="52">
        <f t="shared" ref="Q33" si="24">P33*N33</f>
        <v>0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/>
      <c r="J34" s="37" t="s">
        <v>160</v>
      </c>
      <c r="K34" s="37"/>
      <c r="L34" s="37">
        <v>1</v>
      </c>
      <c r="M34" s="37">
        <f>L34*5</f>
        <v>5</v>
      </c>
      <c r="N34" s="37"/>
      <c r="O34" s="37"/>
      <c r="P34" s="38"/>
      <c r="Q34" s="38">
        <f>P34*N34</f>
        <v>0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/>
      <c r="J35" s="51"/>
      <c r="K35" s="51"/>
      <c r="L35" s="51">
        <v>1</v>
      </c>
      <c r="M35" s="51">
        <f t="shared" ref="M35" si="25">L35*5</f>
        <v>5</v>
      </c>
      <c r="N35" s="51"/>
      <c r="O35" s="51"/>
      <c r="P35" s="52"/>
      <c r="Q35" s="52">
        <f t="shared" ref="Q35" si="26">P35*N35</f>
        <v>0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/>
      <c r="J36" s="37" t="s">
        <v>161</v>
      </c>
      <c r="K36" s="37"/>
      <c r="L36" s="37">
        <v>1</v>
      </c>
      <c r="M36" s="37">
        <f>L36*5</f>
        <v>5</v>
      </c>
      <c r="N36" s="37"/>
      <c r="O36" s="37"/>
      <c r="P36" s="38"/>
      <c r="Q36" s="38">
        <f>P36*N36</f>
        <v>0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/>
      <c r="J37" s="51" t="s">
        <v>162</v>
      </c>
      <c r="K37" s="51"/>
      <c r="L37" s="51">
        <v>1</v>
      </c>
      <c r="M37" s="51">
        <f t="shared" ref="M37" si="27">L37*5</f>
        <v>5</v>
      </c>
      <c r="N37" s="51"/>
      <c r="O37" s="51"/>
      <c r="P37" s="52"/>
      <c r="Q37" s="52">
        <f t="shared" ref="Q37" si="28">P37*N37</f>
        <v>0</v>
      </c>
      <c r="R37" s="51"/>
      <c r="S37" s="59"/>
    </row>
    <row r="38" spans="1:19" ht="15.75" thickBot="1" x14ac:dyDescent="0.3">
      <c r="A38" s="1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/>
      <c r="J38" s="37" t="s">
        <v>163</v>
      </c>
      <c r="K38" s="37"/>
      <c r="L38" s="37">
        <v>1</v>
      </c>
      <c r="M38" s="37">
        <f>L38*5</f>
        <v>5</v>
      </c>
      <c r="N38" s="37"/>
      <c r="O38" s="37"/>
      <c r="P38" s="38"/>
      <c r="Q38" s="38">
        <f>P38*N38</f>
        <v>0</v>
      </c>
      <c r="R38" s="37"/>
      <c r="S38" s="39"/>
    </row>
    <row r="39" spans="1:19" ht="19.5" thickBot="1" x14ac:dyDescent="0.3">
      <c r="A39" s="1"/>
      <c r="B39" s="40"/>
      <c r="C39" s="41"/>
      <c r="D39" s="42"/>
      <c r="E39" s="43"/>
      <c r="F39" s="44"/>
      <c r="G39" s="45"/>
      <c r="H39" s="44"/>
      <c r="I39" s="45"/>
      <c r="J39" s="44"/>
      <c r="K39" s="45"/>
      <c r="L39" s="45"/>
      <c r="M39" s="45"/>
      <c r="N39" s="68" t="s">
        <v>5</v>
      </c>
      <c r="O39" s="69"/>
      <c r="P39" s="69"/>
      <c r="Q39" s="48" t="e">
        <f>SUM(#REF!)</f>
        <v>#REF!</v>
      </c>
      <c r="R39" s="64"/>
      <c r="S39" s="65"/>
    </row>
    <row r="40" spans="1:19" ht="19.5" thickBot="1" x14ac:dyDescent="0.3">
      <c r="A40" s="1"/>
      <c r="B40" s="25"/>
      <c r="C40" s="36"/>
      <c r="D40" s="9"/>
      <c r="E40" s="10"/>
      <c r="F40" s="10"/>
      <c r="G40" s="10"/>
      <c r="H40" s="10"/>
      <c r="I40" s="10"/>
      <c r="J40" s="10"/>
      <c r="K40" s="10"/>
      <c r="L40" s="10"/>
      <c r="M40" s="10"/>
      <c r="N40" s="68" t="s">
        <v>6</v>
      </c>
      <c r="O40" s="69"/>
      <c r="P40" s="69"/>
      <c r="Q40" s="49" t="e">
        <f>Q39/5</f>
        <v>#REF!</v>
      </c>
      <c r="R40" s="66"/>
      <c r="S40" s="67"/>
    </row>
  </sheetData>
  <mergeCells count="5">
    <mergeCell ref="K1:S1"/>
    <mergeCell ref="S3:S8"/>
    <mergeCell ref="R39:S40"/>
    <mergeCell ref="N39:P39"/>
    <mergeCell ref="N40:P4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2023-08-24T08:34:30Z</dcterms:modified>
</cp:coreProperties>
</file>