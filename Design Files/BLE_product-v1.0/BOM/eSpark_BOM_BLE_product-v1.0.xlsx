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0\BOM\"/>
    </mc:Choice>
  </mc:AlternateContent>
  <bookViews>
    <workbookView xWindow="28680" yWindow="-120" windowWidth="29040" windowHeight="15840" activeTab="2"/>
  </bookViews>
  <sheets>
    <sheet name="10 Boards" sheetId="1" r:id="rId1"/>
    <sheet name="20 Boards" sheetId="2" r:id="rId2"/>
    <sheet name="50 Boards" sheetId="3" r:id="rId3"/>
    <sheet name="100 Boards" sheetId="4" r:id="rId4"/>
  </sheets>
  <calcPr calcId="162913"/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10" i="2"/>
  <c r="Q4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10" i="1"/>
  <c r="Q38" i="4"/>
  <c r="M38" i="4"/>
  <c r="B38" i="4"/>
  <c r="Q37" i="4"/>
  <c r="M37" i="4"/>
  <c r="B37" i="4"/>
  <c r="Q36" i="4"/>
  <c r="M36" i="4"/>
  <c r="B36" i="4"/>
  <c r="Q35" i="4"/>
  <c r="M35" i="4"/>
  <c r="B35" i="4"/>
  <c r="Q34" i="4"/>
  <c r="M34" i="4"/>
  <c r="B34" i="4"/>
  <c r="Q33" i="4"/>
  <c r="M33" i="4"/>
  <c r="B33" i="4"/>
  <c r="Q32" i="4"/>
  <c r="M32" i="4"/>
  <c r="B32" i="4"/>
  <c r="Q31" i="4"/>
  <c r="M31" i="4"/>
  <c r="B31" i="4"/>
  <c r="Q30" i="4"/>
  <c r="M30" i="4"/>
  <c r="B30" i="4"/>
  <c r="Q29" i="4"/>
  <c r="M29" i="4"/>
  <c r="B29" i="4"/>
  <c r="Q28" i="4"/>
  <c r="M28" i="4"/>
  <c r="B28" i="4"/>
  <c r="Q27" i="4"/>
  <c r="M27" i="4"/>
  <c r="B27" i="4"/>
  <c r="Q26" i="4"/>
  <c r="M26" i="4"/>
  <c r="B26" i="4"/>
  <c r="Q25" i="4"/>
  <c r="M25" i="4"/>
  <c r="B25" i="4"/>
  <c r="Q24" i="4"/>
  <c r="M24" i="4"/>
  <c r="B24" i="4"/>
  <c r="Q23" i="4"/>
  <c r="M23" i="4"/>
  <c r="B23" i="4"/>
  <c r="Q22" i="4"/>
  <c r="M22" i="4"/>
  <c r="B22" i="4"/>
  <c r="Q21" i="4"/>
  <c r="M21" i="4"/>
  <c r="B21" i="4"/>
  <c r="M20" i="4"/>
  <c r="B20" i="4"/>
  <c r="M19" i="4"/>
  <c r="B19" i="4"/>
  <c r="Q18" i="4"/>
  <c r="M18" i="4"/>
  <c r="B18" i="4"/>
  <c r="M17" i="4"/>
  <c r="B17" i="4"/>
  <c r="Q16" i="4"/>
  <c r="M16" i="4"/>
  <c r="B16" i="4"/>
  <c r="Q15" i="4"/>
  <c r="M15" i="4"/>
  <c r="B15" i="4"/>
  <c r="Q14" i="4"/>
  <c r="M14" i="4"/>
  <c r="B14" i="4"/>
  <c r="Q13" i="4"/>
  <c r="M13" i="4"/>
  <c r="B13" i="4"/>
  <c r="Q12" i="4"/>
  <c r="M12" i="4"/>
  <c r="B12" i="4"/>
  <c r="Q11" i="4"/>
  <c r="M11" i="4"/>
  <c r="B11" i="4"/>
  <c r="Q10" i="4"/>
  <c r="Q39" i="4" s="1"/>
  <c r="Q40" i="4" s="1"/>
  <c r="M10" i="4"/>
  <c r="B10" i="4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B20" i="3"/>
  <c r="B19" i="3"/>
  <c r="Q18" i="3"/>
  <c r="B18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B20" i="2"/>
  <c r="B19" i="2"/>
  <c r="Q18" i="2"/>
  <c r="B18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39" i="3" l="1"/>
  <c r="Q40" i="3" s="1"/>
  <c r="Q39" i="2"/>
  <c r="Q40" i="2" s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B20" i="1"/>
  <c r="B19" i="1"/>
  <c r="Q18" i="1"/>
  <c r="B18" i="1"/>
  <c r="B17" i="1"/>
  <c r="Q16" i="1"/>
  <c r="B16" i="1"/>
  <c r="Q15" i="1"/>
  <c r="B15" i="1"/>
  <c r="Q14" i="1"/>
  <c r="B14" i="1"/>
  <c r="Q13" i="1"/>
  <c r="B13" i="1"/>
  <c r="Q12" i="1"/>
  <c r="B12" i="1"/>
  <c r="Q39" i="1" l="1"/>
  <c r="Q11" i="1"/>
  <c r="Q10" i="1"/>
  <c r="B11" i="1"/>
  <c r="B10" i="1"/>
</calcChain>
</file>

<file path=xl/sharedStrings.xml><?xml version="1.0" encoding="utf-8"?>
<sst xmlns="http://schemas.openxmlformats.org/spreadsheetml/2006/main" count="1229" uniqueCount="207">
  <si>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</si>
  <si>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</si>
  <si>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</si>
  <si>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</si>
  <si>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</si>
  <si>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</si>
  <si>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</si>
  <si>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</si>
  <si>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</si>
  <si>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</si>
  <si>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</si>
  <si>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</si>
  <si>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</si>
  <si>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</si>
  <si>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</si>
  <si>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</si>
  <si>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</si>
  <si>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</si>
  <si>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</si>
  <si>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</si>
  <si>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</si>
  <si>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</si>
  <si>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</si>
  <si>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</si>
  <si>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</si>
  <si>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</si>
  <si>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</si>
  <si>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</si>
  <si>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</si>
  <si>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</si>
  <si>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</si>
  <si>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</si>
  <si>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</si>
  <si>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</si>
  <si>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</si>
  <si>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</si>
  <si>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</si>
  <si>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</si>
  <si>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</si>
  <si>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</si>
  <si>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</si>
  <si>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</si>
  <si>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</si>
  <si>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</si>
  <si>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</si>
  <si>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</si>
  <si>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</si>
  <si>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</si>
  <si>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</si>
  <si>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</si>
  <si>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</si>
  <si>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</si>
  <si>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</si>
  <si>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</si>
  <si>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</si>
  <si>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</si>
  <si>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</si>
  <si>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</si>
  <si>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</si>
  <si>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</si>
  <si>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</si>
  <si>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</si>
  <si>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</si>
  <si>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</si>
  <si>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</si>
  <si>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</si>
  <si>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</si>
  <si>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</si>
  <si>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</si>
  <si>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</si>
  <si>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</si>
  <si>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</si>
  <si>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</si>
  <si>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</si>
  <si>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</si>
  <si>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</si>
  <si>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</si>
  <si>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</si>
  <si>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</si>
  <si>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</si>
  <si>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</si>
  <si>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</si>
  <si>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</si>
  <si>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</si>
  <si>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</si>
  <si>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</si>
  <si>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</si>
  <si>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</si>
  <si>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</si>
  <si>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</si>
  <si>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</si>
  <si>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</si>
  <si>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</si>
  <si>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</si>
  <si>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</si>
  <si>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</si>
  <si>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</si>
  <si>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</si>
  <si>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</si>
  <si>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</si>
  <si>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</si>
  <si>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</si>
  <si>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</si>
  <si>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</si>
  <si>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</si>
  <si>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</si>
  <si>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</si>
  <si>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</si>
  <si>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</si>
  <si>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</si>
  <si>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</si>
  <si>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</si>
  <si>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</si>
  <si>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</si>
  <si>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</si>
  <si>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</si>
  <si>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</si>
  <si>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</si>
  <si>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</si>
  <si>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</si>
  <si>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</si>
  <si>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</si>
  <si>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</si>
  <si>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</si>
  <si>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</si>
  <si>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</si>
  <si>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</si>
  <si>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</si>
  <si>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</si>
  <si>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</si>
  <si>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</si>
  <si>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</si>
  <si>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</si>
  <si>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</si>
  <si>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</si>
  <si>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</si>
  <si>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</si>
  <si>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</si>
  <si>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</si>
  <si>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</si>
  <si>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LCSC Part Number</t>
  </si>
  <si>
    <t>C190183</t>
  </si>
  <si>
    <t>C315248</t>
  </si>
  <si>
    <t>C605210</t>
  </si>
  <si>
    <t>C2186869</t>
  </si>
  <si>
    <t>C1955164</t>
  </si>
  <si>
    <t>C5182464</t>
  </si>
  <si>
    <t>C160957</t>
  </si>
  <si>
    <t>C5349953</t>
  </si>
  <si>
    <t>C2923360</t>
  </si>
  <si>
    <t>C138117</t>
  </si>
  <si>
    <t>C473469</t>
  </si>
  <si>
    <t>C473534</t>
  </si>
  <si>
    <t>C778396</t>
  </si>
  <si>
    <t>C138135</t>
  </si>
  <si>
    <t>C79167</t>
  </si>
  <si>
    <t>C890712</t>
  </si>
  <si>
    <t>C1019998</t>
  </si>
  <si>
    <t>C2870830</t>
  </si>
  <si>
    <t>C2872196</t>
  </si>
  <si>
    <t>C179628</t>
  </si>
  <si>
    <t>C5368700</t>
  </si>
  <si>
    <t>C171681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</si>
  <si>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</si>
  <si>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</si>
  <si>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</si>
  <si>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</si>
  <si>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</si>
  <si>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</si>
  <si>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</si>
  <si>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</si>
  <si>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</si>
  <si>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</si>
  <si>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100K</t>
  </si>
  <si>
    <t>4.7K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</si>
  <si>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</si>
  <si>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</si>
  <si>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</si>
  <si>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</si>
  <si>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</si>
  <si>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</si>
  <si>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</si>
  <si>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</si>
  <si>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</si>
  <si>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Reviewer Remarks</t>
  </si>
  <si>
    <t>FAN54120MP420X</t>
  </si>
  <si>
    <t>C890816</t>
  </si>
  <si>
    <t>Bill of Materials for Project [BLE_product-v1.0]</t>
  </si>
  <si>
    <t>BLE_product-v1.0]</t>
  </si>
  <si>
    <t>-</t>
  </si>
  <si>
    <t>JTAG</t>
  </si>
  <si>
    <t>LCSC</t>
  </si>
  <si>
    <t>Custom</t>
  </si>
  <si>
    <t>CL10A226MP8NUNE</t>
  </si>
  <si>
    <t>C86295</t>
  </si>
  <si>
    <t>Quantity (10 Boards)</t>
  </si>
  <si>
    <t xml:space="preserve"> MOQ (10 Boards)</t>
  </si>
  <si>
    <t>Quantity (20 Boards)</t>
  </si>
  <si>
    <t xml:space="preserve"> MOQ (20 Boards)</t>
  </si>
  <si>
    <t>Unit Cost (20 Boards)</t>
  </si>
  <si>
    <t>Total Cost (20 Boards)</t>
  </si>
  <si>
    <t>Unit Cost (10 Boards)</t>
  </si>
  <si>
    <t>Total Cost (10 Boards)</t>
  </si>
  <si>
    <t>Quantity (50 Boards)</t>
  </si>
  <si>
    <t xml:space="preserve"> MOQ (50 Boards)</t>
  </si>
  <si>
    <t>Unit Cost (50 Boards)</t>
  </si>
  <si>
    <t>Total Cost (50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</si>
</sst>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165" fontId="24" fillId="2" borderId="17" xfId="0" applyNumberFormat="1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165" fontId="24" fillId="2" borderId="16" xfId="0" applyNumberFormat="1" applyFont="1" applyFill="1" applyBorder="1" applyAlignment="1">
      <alignment horizontal="center" vertical="center" wrapText="1"/>
    </xf>
    <xf numFmtId="0" fontId="24" fillId="2" borderId="2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45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45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20</xdr:col>
      <xdr:colOff>504825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453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drawing" Target="../drawings/drawing2.xml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drawing" Target="../drawings/drawing3.xml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drawing" Target="../drawings/drawing4.xml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0"/>
  <sheetViews>
    <sheetView topLeftCell="D23" workbookViewId="0">
      <selection activeCell="Q38" sqref="Q3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5703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7" t="s">
        <v>188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195</v>
      </c>
      <c r="N9" s="30" t="s">
        <v>196</v>
      </c>
      <c r="O9" s="30" t="s">
        <v>180</v>
      </c>
      <c r="P9" s="30" t="s">
        <v>201</v>
      </c>
      <c r="Q9" s="30" t="s">
        <v>202</v>
      </c>
      <c r="R9" s="30" t="s">
        <v>183</v>
      </c>
      <c r="S9" s="30" t="s">
        <v>184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189</v>
      </c>
      <c r="J10" s="37" t="s">
        <v>141</v>
      </c>
      <c r="K10" s="37" t="s">
        <v>163</v>
      </c>
      <c r="L10" s="37">
        <v>6</v>
      </c>
      <c r="M10" s="37">
        <f>L10*10</f>
        <v>60</v>
      </c>
      <c r="N10" s="37">
        <v>100</v>
      </c>
      <c r="O10" s="70" t="s">
        <v>191</v>
      </c>
      <c r="P10" s="38">
        <v>1.1000000000000001E-3</v>
      </c>
      <c r="Q10" s="38">
        <f>P10*N10</f>
        <v>0.11</v>
      </c>
      <c r="R10" s="37"/>
      <c r="S10" s="50"/>
    </row>
    <row r="11" spans="1:19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189</v>
      </c>
      <c r="J11" s="51" t="s">
        <v>142</v>
      </c>
      <c r="K11" s="51" t="s">
        <v>164</v>
      </c>
      <c r="L11" s="51">
        <v>1</v>
      </c>
      <c r="M11" s="37">
        <f t="shared" ref="M11:M38" si="1">L11*10</f>
        <v>10</v>
      </c>
      <c r="N11" s="51">
        <v>50</v>
      </c>
      <c r="O11" s="71" t="s">
        <v>191</v>
      </c>
      <c r="P11" s="52">
        <v>1.09E-2</v>
      </c>
      <c r="Q11" s="52">
        <f t="shared" ref="Q11" si="2">P11*N11</f>
        <v>0.54500000000000004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76" t="s">
        <v>104</v>
      </c>
      <c r="H12" s="37" t="s">
        <v>125</v>
      </c>
      <c r="I12" s="37" t="s">
        <v>193</v>
      </c>
      <c r="J12" s="37" t="s">
        <v>194</v>
      </c>
      <c r="K12" s="37" t="s">
        <v>165</v>
      </c>
      <c r="L12" s="37">
        <v>1</v>
      </c>
      <c r="M12" s="37">
        <f t="shared" si="1"/>
        <v>10</v>
      </c>
      <c r="N12" s="37">
        <v>50</v>
      </c>
      <c r="O12" s="70" t="s">
        <v>191</v>
      </c>
      <c r="P12" s="38">
        <v>1.35E-2</v>
      </c>
      <c r="Q12" s="38">
        <f>P12*N12</f>
        <v>0.67500000000000004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189</v>
      </c>
      <c r="J13" s="51" t="s">
        <v>143</v>
      </c>
      <c r="K13" s="51" t="s">
        <v>166</v>
      </c>
      <c r="L13" s="51">
        <v>1</v>
      </c>
      <c r="M13" s="37">
        <f t="shared" si="1"/>
        <v>10</v>
      </c>
      <c r="N13" s="51">
        <v>100</v>
      </c>
      <c r="O13" s="71" t="s">
        <v>191</v>
      </c>
      <c r="P13" s="52">
        <v>5.3E-3</v>
      </c>
      <c r="Q13" s="52">
        <f t="shared" ref="Q13" si="3">P13*N13</f>
        <v>0.53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189</v>
      </c>
      <c r="J14" s="37" t="s">
        <v>144</v>
      </c>
      <c r="K14" s="37" t="s">
        <v>167</v>
      </c>
      <c r="L14" s="37">
        <v>1</v>
      </c>
      <c r="M14" s="37">
        <f t="shared" si="1"/>
        <v>10</v>
      </c>
      <c r="N14" s="37">
        <v>20</v>
      </c>
      <c r="O14" s="70" t="s">
        <v>191</v>
      </c>
      <c r="P14" s="38">
        <v>3.44E-2</v>
      </c>
      <c r="Q14" s="38">
        <f>P14*N14</f>
        <v>0.68799999999999994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192</v>
      </c>
      <c r="G15" s="51" t="s">
        <v>82</v>
      </c>
      <c r="H15" s="51" t="s">
        <v>127</v>
      </c>
      <c r="I15" s="51" t="s">
        <v>189</v>
      </c>
      <c r="J15" s="51" t="s">
        <v>145</v>
      </c>
      <c r="K15" s="51" t="s">
        <v>168</v>
      </c>
      <c r="L15" s="51">
        <v>1</v>
      </c>
      <c r="M15" s="37">
        <f t="shared" si="1"/>
        <v>10</v>
      </c>
      <c r="N15" s="51">
        <v>11</v>
      </c>
      <c r="O15" s="71" t="s">
        <v>191</v>
      </c>
      <c r="P15" s="52">
        <v>0.50600000000000001</v>
      </c>
      <c r="Q15" s="52">
        <f t="shared" ref="Q15" si="4">P15*N15</f>
        <v>5.5659999999999998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189</v>
      </c>
      <c r="J16" s="37" t="s">
        <v>146</v>
      </c>
      <c r="K16" s="37" t="s">
        <v>166</v>
      </c>
      <c r="L16" s="37">
        <v>1</v>
      </c>
      <c r="M16" s="37">
        <f t="shared" si="1"/>
        <v>10</v>
      </c>
      <c r="N16" s="37">
        <v>20</v>
      </c>
      <c r="O16" s="70" t="s">
        <v>191</v>
      </c>
      <c r="P16" s="38">
        <v>6.3100000000000003E-2</v>
      </c>
      <c r="Q16" s="38">
        <f>P16*N16</f>
        <v>1.262</v>
      </c>
      <c r="R16" s="37"/>
      <c r="S16" s="59"/>
    </row>
    <row r="17" spans="1:19" x14ac:dyDescent="0.25">
      <c r="A17" s="1"/>
      <c r="B17" s="47">
        <f t="shared" si="0"/>
        <v>8</v>
      </c>
      <c r="C17" s="72" t="s">
        <v>10</v>
      </c>
      <c r="D17" s="73" t="s">
        <v>27</v>
      </c>
      <c r="E17" s="73" t="s">
        <v>57</v>
      </c>
      <c r="F17" s="73" t="s">
        <v>192</v>
      </c>
      <c r="G17" s="73" t="s">
        <v>83</v>
      </c>
      <c r="H17" s="73" t="s">
        <v>189</v>
      </c>
      <c r="I17" s="73" t="s">
        <v>189</v>
      </c>
      <c r="J17" s="73" t="s">
        <v>189</v>
      </c>
      <c r="K17" s="73"/>
      <c r="L17" s="73">
        <v>4</v>
      </c>
      <c r="M17" s="37">
        <f t="shared" si="1"/>
        <v>40</v>
      </c>
      <c r="N17" s="73" t="s">
        <v>189</v>
      </c>
      <c r="O17" s="73" t="s">
        <v>189</v>
      </c>
      <c r="P17" s="74" t="s">
        <v>189</v>
      </c>
      <c r="Q17" s="74" t="s">
        <v>189</v>
      </c>
      <c r="R17" s="73"/>
      <c r="S17" s="75"/>
    </row>
    <row r="18" spans="1:19" ht="24" x14ac:dyDescent="0.25">
      <c r="A18" s="1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/>
      <c r="J18" s="37"/>
      <c r="K18" s="37"/>
      <c r="L18" s="37">
        <v>1</v>
      </c>
      <c r="M18" s="37">
        <f t="shared" si="1"/>
        <v>10</v>
      </c>
      <c r="N18" s="37"/>
      <c r="O18" s="37"/>
      <c r="P18" s="38"/>
      <c r="Q18" s="38">
        <f>P18*N18</f>
        <v>0</v>
      </c>
      <c r="R18" s="37"/>
      <c r="S18" s="59"/>
    </row>
    <row r="19" spans="1:19" x14ac:dyDescent="0.25">
      <c r="A19" s="1"/>
      <c r="B19" s="47">
        <f t="shared" si="0"/>
        <v>10</v>
      </c>
      <c r="C19" s="72" t="s">
        <v>12</v>
      </c>
      <c r="D19" s="73" t="s">
        <v>29</v>
      </c>
      <c r="E19" s="73" t="s">
        <v>59</v>
      </c>
      <c r="F19" s="73" t="s">
        <v>85</v>
      </c>
      <c r="G19" s="73" t="s">
        <v>108</v>
      </c>
      <c r="H19" s="73" t="s">
        <v>189</v>
      </c>
      <c r="I19" s="73" t="s">
        <v>189</v>
      </c>
      <c r="J19" s="73" t="s">
        <v>189</v>
      </c>
      <c r="K19" s="73" t="s">
        <v>189</v>
      </c>
      <c r="L19" s="73">
        <v>1</v>
      </c>
      <c r="M19" s="37">
        <f t="shared" si="1"/>
        <v>10</v>
      </c>
      <c r="N19" s="73" t="s">
        <v>189</v>
      </c>
      <c r="O19" s="73" t="s">
        <v>189</v>
      </c>
      <c r="P19" s="74" t="s">
        <v>189</v>
      </c>
      <c r="Q19" s="74" t="s">
        <v>189</v>
      </c>
      <c r="R19" s="51"/>
      <c r="S19" s="59"/>
    </row>
    <row r="20" spans="1:19" x14ac:dyDescent="0.25">
      <c r="A20" s="1"/>
      <c r="B20" s="46">
        <f>ROW(B20) - ROW($B$9)</f>
        <v>11</v>
      </c>
      <c r="C20" s="77" t="s">
        <v>190</v>
      </c>
      <c r="D20" s="76" t="s">
        <v>30</v>
      </c>
      <c r="E20" s="76" t="s">
        <v>189</v>
      </c>
      <c r="F20" s="76" t="s">
        <v>86</v>
      </c>
      <c r="G20" s="76" t="s">
        <v>189</v>
      </c>
      <c r="H20" s="76" t="s">
        <v>189</v>
      </c>
      <c r="I20" s="76" t="s">
        <v>189</v>
      </c>
      <c r="J20" s="76" t="s">
        <v>189</v>
      </c>
      <c r="K20" s="76" t="s">
        <v>189</v>
      </c>
      <c r="L20" s="76">
        <v>1</v>
      </c>
      <c r="M20" s="76">
        <f t="shared" si="1"/>
        <v>10</v>
      </c>
      <c r="N20" s="76" t="s">
        <v>189</v>
      </c>
      <c r="O20" s="76" t="s">
        <v>189</v>
      </c>
      <c r="P20" s="78"/>
      <c r="Q20" s="78" t="s">
        <v>189</v>
      </c>
      <c r="R20" s="76"/>
      <c r="S20" s="75"/>
    </row>
    <row r="21" spans="1:19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189</v>
      </c>
      <c r="J21" s="51" t="s">
        <v>147</v>
      </c>
      <c r="K21" s="51" t="s">
        <v>169</v>
      </c>
      <c r="L21" s="51">
        <v>1</v>
      </c>
      <c r="M21" s="37">
        <f t="shared" si="1"/>
        <v>10</v>
      </c>
      <c r="N21" s="51">
        <v>15</v>
      </c>
      <c r="O21" s="71" t="s">
        <v>191</v>
      </c>
      <c r="P21" s="52">
        <v>8.4000000000000005E-2</v>
      </c>
      <c r="Q21" s="52">
        <f t="shared" ref="Q21" si="5">P21*N21</f>
        <v>1.26</v>
      </c>
      <c r="R21" s="51"/>
      <c r="S21" s="59"/>
    </row>
    <row r="22" spans="1:19" ht="36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192</v>
      </c>
      <c r="G22" s="37" t="s">
        <v>88</v>
      </c>
      <c r="H22" s="37" t="s">
        <v>130</v>
      </c>
      <c r="I22" s="37" t="s">
        <v>189</v>
      </c>
      <c r="J22" s="37" t="s">
        <v>148</v>
      </c>
      <c r="K22" s="37" t="s">
        <v>189</v>
      </c>
      <c r="L22" s="37">
        <v>1</v>
      </c>
      <c r="M22" s="37">
        <f t="shared" si="1"/>
        <v>10</v>
      </c>
      <c r="N22" s="37">
        <v>20</v>
      </c>
      <c r="O22" s="70" t="s">
        <v>191</v>
      </c>
      <c r="P22" s="38">
        <v>5.6099999999999997E-2</v>
      </c>
      <c r="Q22" s="38">
        <f>P22*N22</f>
        <v>1.1219999999999999</v>
      </c>
      <c r="R22" s="37"/>
      <c r="S22" s="59"/>
    </row>
    <row r="23" spans="1:19" ht="48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189</v>
      </c>
      <c r="J23" s="51" t="s">
        <v>149</v>
      </c>
      <c r="K23" s="51"/>
      <c r="L23" s="51">
        <v>1</v>
      </c>
      <c r="M23" s="37">
        <f t="shared" si="1"/>
        <v>10</v>
      </c>
      <c r="N23" s="51">
        <v>20</v>
      </c>
      <c r="O23" s="71" t="s">
        <v>191</v>
      </c>
      <c r="P23" s="52">
        <v>3.3500000000000002E-2</v>
      </c>
      <c r="Q23" s="52">
        <f t="shared" ref="Q23" si="6">P23*N23</f>
        <v>0.67</v>
      </c>
      <c r="R23" s="51"/>
      <c r="S23" s="59"/>
    </row>
    <row r="24" spans="1:19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189</v>
      </c>
      <c r="J24" s="37" t="s">
        <v>150</v>
      </c>
      <c r="K24" s="37" t="s">
        <v>170</v>
      </c>
      <c r="L24" s="37">
        <v>5</v>
      </c>
      <c r="M24" s="37">
        <f t="shared" si="1"/>
        <v>50</v>
      </c>
      <c r="N24" s="37">
        <v>100</v>
      </c>
      <c r="O24" s="70" t="s">
        <v>191</v>
      </c>
      <c r="P24" s="38">
        <v>8.0000000000000004E-4</v>
      </c>
      <c r="Q24" s="38">
        <f>P24*N24</f>
        <v>0.08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189</v>
      </c>
      <c r="J25" s="51" t="s">
        <v>151</v>
      </c>
      <c r="K25" s="51" t="s">
        <v>171</v>
      </c>
      <c r="L25" s="51">
        <v>1</v>
      </c>
      <c r="M25" s="37">
        <f t="shared" si="1"/>
        <v>10</v>
      </c>
      <c r="N25" s="51">
        <v>100</v>
      </c>
      <c r="O25" s="71" t="s">
        <v>191</v>
      </c>
      <c r="P25" s="52">
        <v>8.0000000000000004E-4</v>
      </c>
      <c r="Q25" s="52">
        <f t="shared" ref="Q25" si="7">P25*N25</f>
        <v>0.08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189</v>
      </c>
      <c r="J26" s="37" t="s">
        <v>152</v>
      </c>
      <c r="K26" s="37" t="s">
        <v>172</v>
      </c>
      <c r="L26" s="37">
        <v>1</v>
      </c>
      <c r="M26" s="37">
        <f t="shared" si="1"/>
        <v>10</v>
      </c>
      <c r="N26" s="37">
        <v>100</v>
      </c>
      <c r="O26" s="70" t="s">
        <v>191</v>
      </c>
      <c r="P26" s="38">
        <v>6.9999999999999999E-4</v>
      </c>
      <c r="Q26" s="38">
        <f>P26*N26</f>
        <v>6.9999999999999993E-2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189</v>
      </c>
      <c r="J27" s="51" t="s">
        <v>153</v>
      </c>
      <c r="K27" s="51" t="s">
        <v>173</v>
      </c>
      <c r="L27" s="51">
        <v>2</v>
      </c>
      <c r="M27" s="37">
        <f t="shared" si="1"/>
        <v>20</v>
      </c>
      <c r="N27" s="51">
        <v>50</v>
      </c>
      <c r="O27" s="71" t="s">
        <v>191</v>
      </c>
      <c r="P27" s="52">
        <v>4.5999999999999999E-3</v>
      </c>
      <c r="Q27" s="52">
        <f t="shared" ref="Q27" si="8">P27*N27</f>
        <v>0.22999999999999998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189</v>
      </c>
      <c r="J28" s="37" t="s">
        <v>154</v>
      </c>
      <c r="K28" s="37" t="s">
        <v>174</v>
      </c>
      <c r="L28" s="37">
        <v>4</v>
      </c>
      <c r="M28" s="37">
        <f t="shared" si="1"/>
        <v>40</v>
      </c>
      <c r="N28" s="37">
        <v>100</v>
      </c>
      <c r="O28" s="70" t="s">
        <v>191</v>
      </c>
      <c r="P28" s="38">
        <v>8.9999999999999998E-4</v>
      </c>
      <c r="Q28" s="38">
        <f>P28*N28</f>
        <v>0.09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189</v>
      </c>
      <c r="J29" s="51" t="s">
        <v>155</v>
      </c>
      <c r="K29" s="51" t="s">
        <v>189</v>
      </c>
      <c r="L29" s="51">
        <v>1</v>
      </c>
      <c r="M29" s="37">
        <f t="shared" si="1"/>
        <v>10</v>
      </c>
      <c r="N29" s="51">
        <v>15</v>
      </c>
      <c r="O29" s="71" t="s">
        <v>191</v>
      </c>
      <c r="P29" s="52">
        <v>0.2923</v>
      </c>
      <c r="Q29" s="52">
        <f t="shared" ref="Q29" si="9">P29*N29</f>
        <v>4.3845000000000001</v>
      </c>
      <c r="R29" s="51"/>
      <c r="S29" s="59"/>
    </row>
    <row r="30" spans="1:19" ht="24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189</v>
      </c>
      <c r="J30" s="37" t="s">
        <v>156</v>
      </c>
      <c r="K30" s="37" t="s">
        <v>189</v>
      </c>
      <c r="L30" s="37">
        <v>1</v>
      </c>
      <c r="M30" s="37">
        <f t="shared" si="1"/>
        <v>10</v>
      </c>
      <c r="N30" s="37">
        <v>11</v>
      </c>
      <c r="O30" s="70" t="s">
        <v>191</v>
      </c>
      <c r="P30" s="38">
        <v>0.87819999999999998</v>
      </c>
      <c r="Q30" s="38">
        <f>P30*N30</f>
        <v>9.6601999999999997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189</v>
      </c>
      <c r="J31" s="51" t="s">
        <v>157</v>
      </c>
      <c r="K31" s="51"/>
      <c r="L31" s="51">
        <v>1</v>
      </c>
      <c r="M31" s="37">
        <f t="shared" si="1"/>
        <v>10</v>
      </c>
      <c r="N31" s="51"/>
      <c r="O31" s="51"/>
      <c r="P31" s="52"/>
      <c r="Q31" s="52">
        <f t="shared" ref="Q31" si="10">P31*N31</f>
        <v>0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189</v>
      </c>
      <c r="J32" s="37" t="s">
        <v>158</v>
      </c>
      <c r="K32" s="37"/>
      <c r="L32" s="37">
        <v>1</v>
      </c>
      <c r="M32" s="37">
        <f t="shared" si="1"/>
        <v>10</v>
      </c>
      <c r="N32" s="37">
        <v>15</v>
      </c>
      <c r="O32" s="70" t="s">
        <v>191</v>
      </c>
      <c r="P32" s="38">
        <v>7.9299999999999995E-2</v>
      </c>
      <c r="Q32" s="38">
        <f>P32*N32</f>
        <v>1.1895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185</v>
      </c>
      <c r="H33" s="51" t="s">
        <v>137</v>
      </c>
      <c r="I33" s="51" t="s">
        <v>189</v>
      </c>
      <c r="J33" s="51" t="s">
        <v>186</v>
      </c>
      <c r="K33" s="51"/>
      <c r="L33" s="51">
        <v>1</v>
      </c>
      <c r="M33" s="37">
        <f t="shared" si="1"/>
        <v>10</v>
      </c>
      <c r="N33" s="51">
        <v>11</v>
      </c>
      <c r="O33" s="71" t="s">
        <v>191</v>
      </c>
      <c r="P33" s="52">
        <v>0.6794</v>
      </c>
      <c r="Q33" s="52">
        <f t="shared" ref="Q33" si="11">P33*N33</f>
        <v>7.4733999999999998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189</v>
      </c>
      <c r="J34" s="37" t="s">
        <v>159</v>
      </c>
      <c r="K34" s="37"/>
      <c r="L34" s="37">
        <v>1</v>
      </c>
      <c r="M34" s="37">
        <f t="shared" si="1"/>
        <v>10</v>
      </c>
      <c r="N34" s="37">
        <v>15</v>
      </c>
      <c r="O34" s="70" t="s">
        <v>191</v>
      </c>
      <c r="P34" s="38">
        <v>0.1444</v>
      </c>
      <c r="Q34" s="38">
        <f>P34*N34</f>
        <v>2.1659999999999999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189</v>
      </c>
      <c r="J35" s="51"/>
      <c r="K35" s="51"/>
      <c r="L35" s="51">
        <v>1</v>
      </c>
      <c r="M35" s="37">
        <f t="shared" si="1"/>
        <v>10</v>
      </c>
      <c r="N35" s="51"/>
      <c r="O35" s="51"/>
      <c r="P35" s="52"/>
      <c r="Q35" s="52">
        <f t="shared" ref="Q35" si="12">P35*N35</f>
        <v>0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189</v>
      </c>
      <c r="J36" s="37" t="s">
        <v>160</v>
      </c>
      <c r="K36" s="37"/>
      <c r="L36" s="37">
        <v>1</v>
      </c>
      <c r="M36" s="37">
        <f t="shared" si="1"/>
        <v>10</v>
      </c>
      <c r="N36" s="37">
        <v>11</v>
      </c>
      <c r="O36" s="70" t="s">
        <v>191</v>
      </c>
      <c r="P36" s="38">
        <v>0.33260000000000001</v>
      </c>
      <c r="Q36" s="38">
        <f>P36*N36</f>
        <v>3.6585999999999999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161</v>
      </c>
      <c r="K37" s="51"/>
      <c r="L37" s="51">
        <v>1</v>
      </c>
      <c r="M37" s="37">
        <f t="shared" si="1"/>
        <v>10</v>
      </c>
      <c r="N37" s="51">
        <v>11</v>
      </c>
      <c r="O37" s="71" t="s">
        <v>191</v>
      </c>
      <c r="P37" s="52">
        <v>2.1604999999999999</v>
      </c>
      <c r="Q37" s="52">
        <f t="shared" ref="Q37" si="13">P37*N37</f>
        <v>23.765499999999999</v>
      </c>
      <c r="R37" s="51"/>
      <c r="S37" s="59"/>
    </row>
    <row r="38" spans="1:19" ht="15.75" thickBot="1" x14ac:dyDescent="0.3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162</v>
      </c>
      <c r="K38" s="37"/>
      <c r="L38" s="37">
        <v>1</v>
      </c>
      <c r="M38" s="37">
        <f t="shared" si="1"/>
        <v>10</v>
      </c>
      <c r="N38" s="37">
        <v>11</v>
      </c>
      <c r="O38" s="70" t="s">
        <v>191</v>
      </c>
      <c r="P38" s="38">
        <v>1.3826000000000001</v>
      </c>
      <c r="Q38" s="38">
        <f>P38*N38</f>
        <v>15.208600000000001</v>
      </c>
      <c r="R38" s="37"/>
      <c r="S38" s="39"/>
    </row>
    <row r="39" spans="1:19" ht="19.5" thickBot="1" x14ac:dyDescent="0.3">
      <c r="A39" s="1"/>
      <c r="B39" s="40"/>
      <c r="C39" s="41"/>
      <c r="D39" s="42"/>
      <c r="E39" s="43"/>
      <c r="F39" s="44"/>
      <c r="G39" s="45"/>
      <c r="H39" s="44"/>
      <c r="I39" s="45"/>
      <c r="J39" s="44"/>
      <c r="K39" s="45"/>
      <c r="L39" s="45"/>
      <c r="M39" s="45"/>
      <c r="N39" s="68" t="s">
        <v>5</v>
      </c>
      <c r="O39" s="69"/>
      <c r="P39" s="69"/>
      <c r="Q39" s="48">
        <f>SUM(Q10:Q38)</f>
        <v>80.484300000000005</v>
      </c>
      <c r="R39" s="64"/>
      <c r="S39" s="65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68" t="s">
        <v>6</v>
      </c>
      <c r="O40" s="69"/>
      <c r="P40" s="69"/>
      <c r="Q40" s="49">
        <f>Q39/10</f>
        <v>8.0484299999999998</v>
      </c>
      <c r="R40" s="66"/>
      <c r="S40" s="67"/>
    </row>
  </sheetData>
  <mergeCells count="5">
    <mergeCell ref="K1:S1"/>
    <mergeCell ref="S3:S8"/>
    <mergeCell ref="R39:S40"/>
    <mergeCell ref="N39:P39"/>
    <mergeCell ref="N40:P40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</hyperlinks>
  <pageMargins left="0.7" right="0.7" top="0.75" bottom="0.75" header="0.3" footer="0.3"/>
  <pageSetup paperSize="9" orientation="portrait" r:id="rId24"/>
  <drawing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"/>
  <sheetViews>
    <sheetView topLeftCell="A9" workbookViewId="0">
      <selection activeCell="I30" sqref="I30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5.28515625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7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7" t="s">
        <v>188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197</v>
      </c>
      <c r="N9" s="30" t="s">
        <v>198</v>
      </c>
      <c r="O9" s="30" t="s">
        <v>180</v>
      </c>
      <c r="P9" s="30" t="s">
        <v>199</v>
      </c>
      <c r="Q9" s="30" t="s">
        <v>200</v>
      </c>
      <c r="R9" s="30" t="s">
        <v>183</v>
      </c>
      <c r="S9" s="30" t="s">
        <v>184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189</v>
      </c>
      <c r="J10" s="37" t="s">
        <v>141</v>
      </c>
      <c r="K10" s="37" t="s">
        <v>163</v>
      </c>
      <c r="L10" s="37">
        <v>6</v>
      </c>
      <c r="M10" s="37">
        <f>L10*20</f>
        <v>120</v>
      </c>
      <c r="N10" s="37">
        <v>200</v>
      </c>
      <c r="O10" s="70" t="s">
        <v>191</v>
      </c>
      <c r="P10" s="38">
        <v>1.1000000000000001E-3</v>
      </c>
      <c r="Q10" s="38">
        <f>P10*N10</f>
        <v>0.22</v>
      </c>
      <c r="R10" s="37"/>
      <c r="S10" s="50"/>
    </row>
    <row r="11" spans="1:19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189</v>
      </c>
      <c r="J11" s="51" t="s">
        <v>142</v>
      </c>
      <c r="K11" s="51" t="s">
        <v>164</v>
      </c>
      <c r="L11" s="51">
        <v>1</v>
      </c>
      <c r="M11" s="37">
        <f t="shared" ref="M11:M38" si="1">L11*20</f>
        <v>20</v>
      </c>
      <c r="N11" s="51">
        <v>50</v>
      </c>
      <c r="O11" s="71" t="s">
        <v>191</v>
      </c>
      <c r="P11" s="52">
        <v>1.09E-2</v>
      </c>
      <c r="Q11" s="52">
        <f t="shared" ref="Q11" si="2">P11*N11</f>
        <v>0.54500000000000004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76" t="s">
        <v>104</v>
      </c>
      <c r="H12" s="37" t="s">
        <v>125</v>
      </c>
      <c r="I12" s="37" t="s">
        <v>193</v>
      </c>
      <c r="J12" s="37" t="s">
        <v>194</v>
      </c>
      <c r="K12" s="37" t="s">
        <v>165</v>
      </c>
      <c r="L12" s="37">
        <v>1</v>
      </c>
      <c r="M12" s="37">
        <f t="shared" si="1"/>
        <v>20</v>
      </c>
      <c r="N12" s="37">
        <v>50</v>
      </c>
      <c r="O12" s="70" t="s">
        <v>191</v>
      </c>
      <c r="P12" s="38">
        <v>1.35E-2</v>
      </c>
      <c r="Q12" s="38">
        <f>P12*N12</f>
        <v>0.67500000000000004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189</v>
      </c>
      <c r="J13" s="51" t="s">
        <v>143</v>
      </c>
      <c r="K13" s="51" t="s">
        <v>166</v>
      </c>
      <c r="L13" s="51">
        <v>1</v>
      </c>
      <c r="M13" s="37">
        <f t="shared" si="1"/>
        <v>20</v>
      </c>
      <c r="N13" s="51">
        <v>100</v>
      </c>
      <c r="O13" s="71" t="s">
        <v>191</v>
      </c>
      <c r="P13" s="52">
        <v>5.3E-3</v>
      </c>
      <c r="Q13" s="52">
        <f t="shared" ref="Q13" si="3">P13*N13</f>
        <v>0.53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189</v>
      </c>
      <c r="J14" s="37" t="s">
        <v>144</v>
      </c>
      <c r="K14" s="37" t="s">
        <v>167</v>
      </c>
      <c r="L14" s="37">
        <v>1</v>
      </c>
      <c r="M14" s="37">
        <f t="shared" si="1"/>
        <v>20</v>
      </c>
      <c r="N14" s="37">
        <v>40</v>
      </c>
      <c r="O14" s="70" t="s">
        <v>191</v>
      </c>
      <c r="P14" s="38">
        <v>3.44E-2</v>
      </c>
      <c r="Q14" s="38">
        <f>P14*N14</f>
        <v>1.3759999999999999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192</v>
      </c>
      <c r="G15" s="51" t="s">
        <v>82</v>
      </c>
      <c r="H15" s="51" t="s">
        <v>127</v>
      </c>
      <c r="I15" s="51" t="s">
        <v>189</v>
      </c>
      <c r="J15" s="51" t="s">
        <v>145</v>
      </c>
      <c r="K15" s="51" t="s">
        <v>168</v>
      </c>
      <c r="L15" s="51">
        <v>1</v>
      </c>
      <c r="M15" s="37">
        <f t="shared" si="1"/>
        <v>20</v>
      </c>
      <c r="N15" s="51">
        <v>21</v>
      </c>
      <c r="O15" s="71" t="s">
        <v>191</v>
      </c>
      <c r="P15" s="52">
        <v>0.50600000000000001</v>
      </c>
      <c r="Q15" s="52">
        <f t="shared" ref="Q15" si="4">P15*N15</f>
        <v>10.625999999999999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189</v>
      </c>
      <c r="J16" s="37" t="s">
        <v>146</v>
      </c>
      <c r="K16" s="37" t="s">
        <v>166</v>
      </c>
      <c r="L16" s="37">
        <v>1</v>
      </c>
      <c r="M16" s="37">
        <f t="shared" si="1"/>
        <v>20</v>
      </c>
      <c r="N16" s="37">
        <v>30</v>
      </c>
      <c r="O16" s="70" t="s">
        <v>191</v>
      </c>
      <c r="P16" s="38">
        <v>6.3100000000000003E-2</v>
      </c>
      <c r="Q16" s="38">
        <f>P16*N16</f>
        <v>1.893</v>
      </c>
      <c r="R16" s="37"/>
      <c r="S16" s="59"/>
    </row>
    <row r="17" spans="1:19" x14ac:dyDescent="0.25">
      <c r="A17" s="1"/>
      <c r="B17" s="47">
        <f t="shared" si="0"/>
        <v>8</v>
      </c>
      <c r="C17" s="72" t="s">
        <v>10</v>
      </c>
      <c r="D17" s="73" t="s">
        <v>27</v>
      </c>
      <c r="E17" s="73" t="s">
        <v>57</v>
      </c>
      <c r="F17" s="73" t="s">
        <v>192</v>
      </c>
      <c r="G17" s="73" t="s">
        <v>83</v>
      </c>
      <c r="H17" s="73" t="s">
        <v>189</v>
      </c>
      <c r="I17" s="73" t="s">
        <v>189</v>
      </c>
      <c r="J17" s="73" t="s">
        <v>189</v>
      </c>
      <c r="K17" s="73"/>
      <c r="L17" s="73">
        <v>4</v>
      </c>
      <c r="M17" s="37">
        <f t="shared" si="1"/>
        <v>80</v>
      </c>
      <c r="N17" s="73" t="s">
        <v>189</v>
      </c>
      <c r="O17" s="73" t="s">
        <v>189</v>
      </c>
      <c r="P17" s="74" t="s">
        <v>189</v>
      </c>
      <c r="Q17" s="74" t="s">
        <v>189</v>
      </c>
      <c r="R17" s="73"/>
      <c r="S17" s="75"/>
    </row>
    <row r="18" spans="1:19" ht="25.5" x14ac:dyDescent="0.25">
      <c r="A18" s="1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/>
      <c r="J18" s="37"/>
      <c r="K18" s="37"/>
      <c r="L18" s="37">
        <v>1</v>
      </c>
      <c r="M18" s="37">
        <f t="shared" si="1"/>
        <v>20</v>
      </c>
      <c r="N18" s="37"/>
      <c r="O18" s="37"/>
      <c r="P18" s="38"/>
      <c r="Q18" s="38">
        <f>P18*N18</f>
        <v>0</v>
      </c>
      <c r="R18" s="37"/>
      <c r="S18" s="59"/>
    </row>
    <row r="19" spans="1:19" ht="24" x14ac:dyDescent="0.25">
      <c r="A19" s="1"/>
      <c r="B19" s="47">
        <f t="shared" si="0"/>
        <v>10</v>
      </c>
      <c r="C19" s="72" t="s">
        <v>12</v>
      </c>
      <c r="D19" s="73" t="s">
        <v>29</v>
      </c>
      <c r="E19" s="73" t="s">
        <v>59</v>
      </c>
      <c r="F19" s="73" t="s">
        <v>85</v>
      </c>
      <c r="G19" s="73" t="s">
        <v>108</v>
      </c>
      <c r="H19" s="73" t="s">
        <v>189</v>
      </c>
      <c r="I19" s="73" t="s">
        <v>189</v>
      </c>
      <c r="J19" s="73" t="s">
        <v>189</v>
      </c>
      <c r="K19" s="73" t="s">
        <v>189</v>
      </c>
      <c r="L19" s="73">
        <v>1</v>
      </c>
      <c r="M19" s="73">
        <f t="shared" si="1"/>
        <v>20</v>
      </c>
      <c r="N19" s="73" t="s">
        <v>189</v>
      </c>
      <c r="O19" s="73" t="s">
        <v>189</v>
      </c>
      <c r="P19" s="74" t="s">
        <v>189</v>
      </c>
      <c r="Q19" s="74" t="s">
        <v>189</v>
      </c>
      <c r="R19" s="51"/>
      <c r="S19" s="59"/>
    </row>
    <row r="20" spans="1:19" x14ac:dyDescent="0.25">
      <c r="A20" s="1"/>
      <c r="B20" s="46">
        <f>ROW(B20) - ROW($B$9)</f>
        <v>11</v>
      </c>
      <c r="C20" s="77" t="s">
        <v>190</v>
      </c>
      <c r="D20" s="76" t="s">
        <v>30</v>
      </c>
      <c r="E20" s="76" t="s">
        <v>189</v>
      </c>
      <c r="F20" s="79" t="s">
        <v>189</v>
      </c>
      <c r="G20" s="76" t="s">
        <v>86</v>
      </c>
      <c r="H20" s="76" t="s">
        <v>189</v>
      </c>
      <c r="I20" s="76" t="s">
        <v>189</v>
      </c>
      <c r="J20" s="76" t="s">
        <v>189</v>
      </c>
      <c r="K20" s="76" t="s">
        <v>189</v>
      </c>
      <c r="L20" s="76">
        <v>1</v>
      </c>
      <c r="M20" s="76">
        <f t="shared" si="1"/>
        <v>20</v>
      </c>
      <c r="N20" s="76" t="s">
        <v>189</v>
      </c>
      <c r="O20" s="76" t="s">
        <v>189</v>
      </c>
      <c r="P20" s="78"/>
      <c r="Q20" s="78" t="s">
        <v>189</v>
      </c>
      <c r="R20" s="76"/>
      <c r="S20" s="75"/>
    </row>
    <row r="21" spans="1:19" ht="24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189</v>
      </c>
      <c r="J21" s="51" t="s">
        <v>147</v>
      </c>
      <c r="K21" s="51" t="s">
        <v>169</v>
      </c>
      <c r="L21" s="51">
        <v>1</v>
      </c>
      <c r="M21" s="37">
        <f t="shared" si="1"/>
        <v>20</v>
      </c>
      <c r="N21" s="51">
        <v>25</v>
      </c>
      <c r="O21" s="71" t="s">
        <v>191</v>
      </c>
      <c r="P21" s="52">
        <v>8.4000000000000005E-2</v>
      </c>
      <c r="Q21" s="52">
        <f t="shared" ref="Q21" si="5">P21*N21</f>
        <v>2.1</v>
      </c>
      <c r="R21" s="51"/>
      <c r="S21" s="59"/>
    </row>
    <row r="22" spans="1:19" ht="48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192</v>
      </c>
      <c r="G22" s="37" t="s">
        <v>88</v>
      </c>
      <c r="H22" s="37" t="s">
        <v>130</v>
      </c>
      <c r="I22" s="37" t="s">
        <v>189</v>
      </c>
      <c r="J22" s="37" t="s">
        <v>148</v>
      </c>
      <c r="K22" s="37" t="s">
        <v>189</v>
      </c>
      <c r="L22" s="37">
        <v>1</v>
      </c>
      <c r="M22" s="37">
        <f t="shared" si="1"/>
        <v>20</v>
      </c>
      <c r="N22" s="37">
        <v>30</v>
      </c>
      <c r="O22" s="70" t="s">
        <v>191</v>
      </c>
      <c r="P22" s="38">
        <v>5.6099999999999997E-2</v>
      </c>
      <c r="Q22" s="38">
        <f>P22*N22</f>
        <v>1.6829999999999998</v>
      </c>
      <c r="R22" s="37"/>
      <c r="S22" s="59"/>
    </row>
    <row r="23" spans="1:19" ht="60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189</v>
      </c>
      <c r="J23" s="51" t="s">
        <v>149</v>
      </c>
      <c r="K23" s="51"/>
      <c r="L23" s="51">
        <v>1</v>
      </c>
      <c r="M23" s="37">
        <f t="shared" si="1"/>
        <v>20</v>
      </c>
      <c r="N23" s="51">
        <v>40</v>
      </c>
      <c r="O23" s="71" t="s">
        <v>191</v>
      </c>
      <c r="P23" s="52">
        <v>3.3500000000000002E-2</v>
      </c>
      <c r="Q23" s="52">
        <f t="shared" ref="Q23" si="6">P23*N23</f>
        <v>1.34</v>
      </c>
      <c r="R23" s="51"/>
      <c r="S23" s="59"/>
    </row>
    <row r="24" spans="1:19" ht="24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189</v>
      </c>
      <c r="J24" s="37" t="s">
        <v>150</v>
      </c>
      <c r="K24" s="37" t="s">
        <v>170</v>
      </c>
      <c r="L24" s="37">
        <v>5</v>
      </c>
      <c r="M24" s="37">
        <f t="shared" si="1"/>
        <v>100</v>
      </c>
      <c r="N24" s="37">
        <v>200</v>
      </c>
      <c r="O24" s="70" t="s">
        <v>191</v>
      </c>
      <c r="P24" s="38">
        <v>8.0000000000000004E-4</v>
      </c>
      <c r="Q24" s="38">
        <f>P24*N24</f>
        <v>0.16</v>
      </c>
      <c r="R24" s="37"/>
      <c r="S24" s="59"/>
    </row>
    <row r="25" spans="1:19" ht="48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189</v>
      </c>
      <c r="J25" s="51" t="s">
        <v>151</v>
      </c>
      <c r="K25" s="51" t="s">
        <v>171</v>
      </c>
      <c r="L25" s="51">
        <v>1</v>
      </c>
      <c r="M25" s="37">
        <f t="shared" si="1"/>
        <v>20</v>
      </c>
      <c r="N25" s="51">
        <v>100</v>
      </c>
      <c r="O25" s="71" t="s">
        <v>191</v>
      </c>
      <c r="P25" s="52">
        <v>8.0000000000000004E-4</v>
      </c>
      <c r="Q25" s="52">
        <f t="shared" ref="Q25" si="7">P25*N25</f>
        <v>0.08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189</v>
      </c>
      <c r="J26" s="37" t="s">
        <v>152</v>
      </c>
      <c r="K26" s="37" t="s">
        <v>172</v>
      </c>
      <c r="L26" s="37">
        <v>1</v>
      </c>
      <c r="M26" s="37">
        <f t="shared" si="1"/>
        <v>20</v>
      </c>
      <c r="N26" s="37">
        <v>100</v>
      </c>
      <c r="O26" s="70" t="s">
        <v>191</v>
      </c>
      <c r="P26" s="38">
        <v>6.9999999999999999E-4</v>
      </c>
      <c r="Q26" s="38">
        <f>P26*N26</f>
        <v>6.9999999999999993E-2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189</v>
      </c>
      <c r="J27" s="51" t="s">
        <v>153</v>
      </c>
      <c r="K27" s="51" t="s">
        <v>173</v>
      </c>
      <c r="L27" s="51">
        <v>2</v>
      </c>
      <c r="M27" s="37">
        <f t="shared" si="1"/>
        <v>40</v>
      </c>
      <c r="N27" s="51">
        <v>50</v>
      </c>
      <c r="O27" s="71" t="s">
        <v>191</v>
      </c>
      <c r="P27" s="52">
        <v>4.5999999999999999E-3</v>
      </c>
      <c r="Q27" s="52">
        <f t="shared" ref="Q27" si="8">P27*N27</f>
        <v>0.22999999999999998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189</v>
      </c>
      <c r="J28" s="37" t="s">
        <v>154</v>
      </c>
      <c r="K28" s="37" t="s">
        <v>174</v>
      </c>
      <c r="L28" s="37">
        <v>4</v>
      </c>
      <c r="M28" s="37">
        <f t="shared" si="1"/>
        <v>80</v>
      </c>
      <c r="N28" s="37">
        <v>100</v>
      </c>
      <c r="O28" s="70" t="s">
        <v>191</v>
      </c>
      <c r="P28" s="38">
        <v>8.9999999999999998E-4</v>
      </c>
      <c r="Q28" s="38">
        <f>P28*N28</f>
        <v>0.09</v>
      </c>
      <c r="R28" s="37"/>
      <c r="S28" s="59"/>
    </row>
    <row r="29" spans="1:19" ht="25.5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189</v>
      </c>
      <c r="J29" s="51" t="s">
        <v>155</v>
      </c>
      <c r="K29" s="51" t="s">
        <v>189</v>
      </c>
      <c r="L29" s="51">
        <v>1</v>
      </c>
      <c r="M29" s="37">
        <f t="shared" si="1"/>
        <v>20</v>
      </c>
      <c r="N29" s="51">
        <v>25</v>
      </c>
      <c r="O29" s="71" t="s">
        <v>191</v>
      </c>
      <c r="P29" s="52">
        <v>0.2923</v>
      </c>
      <c r="Q29" s="52">
        <f t="shared" ref="Q29" si="9">P29*N29</f>
        <v>7.3075000000000001</v>
      </c>
      <c r="R29" s="51"/>
      <c r="S29" s="59"/>
    </row>
    <row r="30" spans="1:19" ht="36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189</v>
      </c>
      <c r="J30" s="37" t="s">
        <v>156</v>
      </c>
      <c r="K30" s="37" t="s">
        <v>189</v>
      </c>
      <c r="L30" s="37">
        <v>1</v>
      </c>
      <c r="M30" s="37">
        <f t="shared" si="1"/>
        <v>20</v>
      </c>
      <c r="N30" s="37">
        <v>21</v>
      </c>
      <c r="O30" s="70" t="s">
        <v>191</v>
      </c>
      <c r="P30" s="38">
        <v>0.73980000000000001</v>
      </c>
      <c r="Q30" s="38">
        <f>P30*N30</f>
        <v>15.5358</v>
      </c>
      <c r="R30" s="37"/>
      <c r="S30" s="59"/>
    </row>
    <row r="31" spans="1:19" ht="24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189</v>
      </c>
      <c r="J31" s="51" t="s">
        <v>157</v>
      </c>
      <c r="K31" s="51"/>
      <c r="L31" s="51">
        <v>1</v>
      </c>
      <c r="M31" s="37">
        <f t="shared" si="1"/>
        <v>20</v>
      </c>
      <c r="N31" s="51"/>
      <c r="O31" s="51"/>
      <c r="P31" s="52"/>
      <c r="Q31" s="52">
        <f t="shared" ref="Q31" si="10">P31*N31</f>
        <v>0</v>
      </c>
      <c r="R31" s="51"/>
      <c r="S31" s="59"/>
    </row>
    <row r="32" spans="1:19" ht="24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189</v>
      </c>
      <c r="J32" s="37" t="s">
        <v>158</v>
      </c>
      <c r="K32" s="37"/>
      <c r="L32" s="37">
        <v>1</v>
      </c>
      <c r="M32" s="37">
        <f t="shared" si="1"/>
        <v>20</v>
      </c>
      <c r="N32" s="37">
        <v>25</v>
      </c>
      <c r="O32" s="70" t="s">
        <v>191</v>
      </c>
      <c r="P32" s="38">
        <v>7.9299999999999995E-2</v>
      </c>
      <c r="Q32" s="38">
        <f>P32*N32</f>
        <v>1.9824999999999999</v>
      </c>
      <c r="R32" s="37"/>
      <c r="S32" s="59"/>
    </row>
    <row r="33" spans="1:19" ht="24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185</v>
      </c>
      <c r="H33" s="51" t="s">
        <v>137</v>
      </c>
      <c r="I33" s="51" t="s">
        <v>189</v>
      </c>
      <c r="J33" s="51" t="s">
        <v>186</v>
      </c>
      <c r="K33" s="51"/>
      <c r="L33" s="51">
        <v>1</v>
      </c>
      <c r="M33" s="37">
        <f t="shared" si="1"/>
        <v>20</v>
      </c>
      <c r="N33" s="51">
        <v>21</v>
      </c>
      <c r="O33" s="71" t="s">
        <v>191</v>
      </c>
      <c r="P33" s="52">
        <v>0.6794</v>
      </c>
      <c r="Q33" s="52">
        <f t="shared" ref="Q33" si="11">P33*N33</f>
        <v>14.2674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189</v>
      </c>
      <c r="J34" s="37" t="s">
        <v>159</v>
      </c>
      <c r="K34" s="37"/>
      <c r="L34" s="37">
        <v>1</v>
      </c>
      <c r="M34" s="37">
        <f t="shared" si="1"/>
        <v>20</v>
      </c>
      <c r="N34" s="37">
        <v>25</v>
      </c>
      <c r="O34" s="70" t="s">
        <v>191</v>
      </c>
      <c r="P34" s="38">
        <v>0.1444</v>
      </c>
      <c r="Q34" s="38">
        <f>P34*N34</f>
        <v>3.61</v>
      </c>
      <c r="R34" s="37"/>
      <c r="S34" s="59"/>
    </row>
    <row r="35" spans="1:19" ht="24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189</v>
      </c>
      <c r="J35" s="51"/>
      <c r="K35" s="51"/>
      <c r="L35" s="51">
        <v>1</v>
      </c>
      <c r="M35" s="37">
        <f t="shared" si="1"/>
        <v>20</v>
      </c>
      <c r="N35" s="51"/>
      <c r="O35" s="51"/>
      <c r="P35" s="52"/>
      <c r="Q35" s="52">
        <f t="shared" ref="Q35" si="12">P35*N35</f>
        <v>0</v>
      </c>
      <c r="R35" s="51"/>
      <c r="S35" s="59"/>
    </row>
    <row r="36" spans="1:19" ht="24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189</v>
      </c>
      <c r="J36" s="37" t="s">
        <v>160</v>
      </c>
      <c r="K36" s="37"/>
      <c r="L36" s="37">
        <v>1</v>
      </c>
      <c r="M36" s="37">
        <f t="shared" si="1"/>
        <v>20</v>
      </c>
      <c r="N36" s="37">
        <v>21</v>
      </c>
      <c r="O36" s="70" t="s">
        <v>191</v>
      </c>
      <c r="P36" s="38">
        <v>0.33260000000000001</v>
      </c>
      <c r="Q36" s="38">
        <f>P36*N36</f>
        <v>6.9846000000000004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161</v>
      </c>
      <c r="K37" s="51"/>
      <c r="L37" s="51">
        <v>1</v>
      </c>
      <c r="M37" s="37">
        <f t="shared" si="1"/>
        <v>20</v>
      </c>
      <c r="N37" s="51">
        <v>21</v>
      </c>
      <c r="O37" s="71" t="s">
        <v>191</v>
      </c>
      <c r="P37" s="52">
        <v>2.1604999999999999</v>
      </c>
      <c r="Q37" s="52">
        <f t="shared" ref="Q37" si="13">P37*N37</f>
        <v>45.3705</v>
      </c>
      <c r="R37" s="51"/>
      <c r="S37" s="59"/>
    </row>
    <row r="38" spans="1:19" ht="24.75" thickBot="1" x14ac:dyDescent="0.3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162</v>
      </c>
      <c r="K38" s="37"/>
      <c r="L38" s="37">
        <v>1</v>
      </c>
      <c r="M38" s="37">
        <f t="shared" si="1"/>
        <v>20</v>
      </c>
      <c r="N38" s="37">
        <v>21</v>
      </c>
      <c r="O38" s="70" t="s">
        <v>191</v>
      </c>
      <c r="P38" s="38">
        <v>1.3826000000000001</v>
      </c>
      <c r="Q38" s="38">
        <f>P38*N38</f>
        <v>29.034600000000001</v>
      </c>
      <c r="R38" s="37"/>
      <c r="S38" s="39"/>
    </row>
    <row r="39" spans="1:19" ht="19.5" thickBot="1" x14ac:dyDescent="0.3">
      <c r="A39" s="1"/>
      <c r="B39" s="40"/>
      <c r="C39" s="41"/>
      <c r="D39" s="42"/>
      <c r="E39" s="43"/>
      <c r="F39" s="44"/>
      <c r="G39" s="45"/>
      <c r="H39" s="44"/>
      <c r="I39" s="45"/>
      <c r="J39" s="44"/>
      <c r="K39" s="45"/>
      <c r="L39" s="45"/>
      <c r="M39" s="45"/>
      <c r="N39" s="68" t="s">
        <v>5</v>
      </c>
      <c r="O39" s="69"/>
      <c r="P39" s="69"/>
      <c r="Q39" s="48">
        <f>SUM(Q10:Q38)</f>
        <v>145.71090000000001</v>
      </c>
      <c r="R39" s="64"/>
      <c r="S39" s="65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68" t="s">
        <v>6</v>
      </c>
      <c r="O40" s="69"/>
      <c r="P40" s="69"/>
      <c r="Q40" s="49">
        <f>Q39/20</f>
        <v>7.2855450000000008</v>
      </c>
      <c r="R40" s="66"/>
      <c r="S40" s="67"/>
    </row>
  </sheetData>
  <mergeCells count="5">
    <mergeCell ref="K1:S1"/>
    <mergeCell ref="S3:S8"/>
    <mergeCell ref="N39:P39"/>
    <mergeCell ref="R39:S40"/>
    <mergeCell ref="N40:P40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</hyperlinks>
  <pageMargins left="0.7" right="0.7" top="0.75" bottom="0.75" header="0.3" footer="0.3"/>
  <drawing r:id="rId2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"/>
  <sheetViews>
    <sheetView tabSelected="1" topLeftCell="A2" workbookViewId="0">
      <selection activeCell="D22" sqref="D2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3.42578125" customWidth="1"/>
    <col min="6" max="6" width="15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7" t="s">
        <v>188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203</v>
      </c>
      <c r="N9" s="30" t="s">
        <v>204</v>
      </c>
      <c r="O9" s="30" t="s">
        <v>180</v>
      </c>
      <c r="P9" s="30" t="s">
        <v>205</v>
      </c>
      <c r="Q9" s="30" t="s">
        <v>206</v>
      </c>
      <c r="R9" s="30" t="s">
        <v>183</v>
      </c>
      <c r="S9" s="30" t="s">
        <v>184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189</v>
      </c>
      <c r="J10" s="37" t="s">
        <v>141</v>
      </c>
      <c r="K10" s="37" t="s">
        <v>163</v>
      </c>
      <c r="L10" s="37">
        <v>6</v>
      </c>
      <c r="M10" s="37">
        <f>L10*50</f>
        <v>300</v>
      </c>
      <c r="N10" s="37">
        <v>400</v>
      </c>
      <c r="O10" s="70" t="s">
        <v>191</v>
      </c>
      <c r="P10" s="38">
        <v>1.1000000000000001E-3</v>
      </c>
      <c r="Q10" s="38">
        <f>P10*N10</f>
        <v>0.44</v>
      </c>
      <c r="R10" s="37"/>
      <c r="S10" s="50"/>
    </row>
    <row r="11" spans="1:19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189</v>
      </c>
      <c r="J11" s="51" t="s">
        <v>142</v>
      </c>
      <c r="K11" s="51" t="s">
        <v>164</v>
      </c>
      <c r="L11" s="51">
        <v>1</v>
      </c>
      <c r="M11" s="37">
        <f t="shared" ref="M11:M38" si="1">L11*50</f>
        <v>50</v>
      </c>
      <c r="N11" s="51">
        <v>100</v>
      </c>
      <c r="O11" s="71" t="s">
        <v>191</v>
      </c>
      <c r="P11" s="52">
        <v>1.09E-2</v>
      </c>
      <c r="Q11" s="52">
        <f t="shared" ref="Q11" si="2">P11*N11</f>
        <v>1.0900000000000001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76" t="s">
        <v>104</v>
      </c>
      <c r="H12" s="37" t="s">
        <v>125</v>
      </c>
      <c r="I12" s="37" t="s">
        <v>193</v>
      </c>
      <c r="J12" s="37" t="s">
        <v>194</v>
      </c>
      <c r="K12" s="37" t="s">
        <v>165</v>
      </c>
      <c r="L12" s="37">
        <v>1</v>
      </c>
      <c r="M12" s="37">
        <f t="shared" si="1"/>
        <v>50</v>
      </c>
      <c r="N12" s="37">
        <v>100</v>
      </c>
      <c r="O12" s="70" t="s">
        <v>191</v>
      </c>
      <c r="P12" s="38">
        <v>1.35E-2</v>
      </c>
      <c r="Q12" s="38">
        <f>P12*N12</f>
        <v>1.35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189</v>
      </c>
      <c r="J13" s="51" t="s">
        <v>143</v>
      </c>
      <c r="K13" s="51" t="s">
        <v>166</v>
      </c>
      <c r="L13" s="51">
        <v>1</v>
      </c>
      <c r="M13" s="37">
        <f t="shared" si="1"/>
        <v>50</v>
      </c>
      <c r="N13" s="51">
        <v>100</v>
      </c>
      <c r="O13" s="71" t="s">
        <v>191</v>
      </c>
      <c r="P13" s="52">
        <v>5.3E-3</v>
      </c>
      <c r="Q13" s="52">
        <f t="shared" ref="Q13" si="3">P13*N13</f>
        <v>0.53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189</v>
      </c>
      <c r="J14" s="37" t="s">
        <v>144</v>
      </c>
      <c r="K14" s="37" t="s">
        <v>167</v>
      </c>
      <c r="L14" s="37">
        <v>1</v>
      </c>
      <c r="M14" s="37">
        <f t="shared" si="1"/>
        <v>50</v>
      </c>
      <c r="N14" s="37">
        <v>60</v>
      </c>
      <c r="O14" s="70" t="s">
        <v>191</v>
      </c>
      <c r="P14" s="38">
        <v>3.44E-2</v>
      </c>
      <c r="Q14" s="38">
        <f>P14*N14</f>
        <v>2.0640000000000001</v>
      </c>
      <c r="R14" s="37"/>
      <c r="S14" s="59"/>
    </row>
    <row r="15" spans="1:19" ht="24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192</v>
      </c>
      <c r="G15" s="51" t="s">
        <v>82</v>
      </c>
      <c r="H15" s="51" t="s">
        <v>127</v>
      </c>
      <c r="I15" s="51" t="s">
        <v>189</v>
      </c>
      <c r="J15" s="51" t="s">
        <v>145</v>
      </c>
      <c r="K15" s="51" t="s">
        <v>168</v>
      </c>
      <c r="L15" s="51">
        <v>1</v>
      </c>
      <c r="M15" s="37">
        <f t="shared" si="1"/>
        <v>50</v>
      </c>
      <c r="N15" s="51">
        <v>51</v>
      </c>
      <c r="O15" s="71" t="s">
        <v>191</v>
      </c>
      <c r="P15" s="52">
        <v>0.45979999999999999</v>
      </c>
      <c r="Q15" s="52">
        <f t="shared" ref="Q15" si="4">P15*N15</f>
        <v>23.4498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189</v>
      </c>
      <c r="J16" s="37" t="s">
        <v>146</v>
      </c>
      <c r="K16" s="37" t="s">
        <v>166</v>
      </c>
      <c r="L16" s="37">
        <v>1</v>
      </c>
      <c r="M16" s="37">
        <f t="shared" si="1"/>
        <v>50</v>
      </c>
      <c r="N16" s="37">
        <v>60</v>
      </c>
      <c r="O16" s="70" t="s">
        <v>191</v>
      </c>
      <c r="P16" s="38">
        <v>6.3100000000000003E-2</v>
      </c>
      <c r="Q16" s="38">
        <f>P16*N16</f>
        <v>3.786</v>
      </c>
      <c r="R16" s="37"/>
      <c r="S16" s="59"/>
    </row>
    <row r="17" spans="1:19" x14ac:dyDescent="0.25">
      <c r="A17" s="1"/>
      <c r="B17" s="47">
        <f t="shared" si="0"/>
        <v>8</v>
      </c>
      <c r="C17" s="72" t="s">
        <v>10</v>
      </c>
      <c r="D17" s="73" t="s">
        <v>27</v>
      </c>
      <c r="E17" s="73" t="s">
        <v>57</v>
      </c>
      <c r="F17" s="73" t="s">
        <v>192</v>
      </c>
      <c r="G17" s="73" t="s">
        <v>83</v>
      </c>
      <c r="H17" s="73" t="s">
        <v>189</v>
      </c>
      <c r="I17" s="73" t="s">
        <v>189</v>
      </c>
      <c r="J17" s="73" t="s">
        <v>189</v>
      </c>
      <c r="K17" s="73" t="s">
        <v>189</v>
      </c>
      <c r="L17" s="73">
        <v>4</v>
      </c>
      <c r="M17" s="73">
        <f t="shared" si="1"/>
        <v>200</v>
      </c>
      <c r="N17" s="73" t="s">
        <v>189</v>
      </c>
      <c r="O17" s="73" t="s">
        <v>189</v>
      </c>
      <c r="P17" s="74" t="s">
        <v>189</v>
      </c>
      <c r="Q17" s="74" t="s">
        <v>189</v>
      </c>
      <c r="R17" s="73"/>
      <c r="S17" s="75"/>
    </row>
    <row r="18" spans="1:19" ht="36" x14ac:dyDescent="0.25">
      <c r="A18" s="1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/>
      <c r="J18" s="37"/>
      <c r="K18" s="37"/>
      <c r="L18" s="37">
        <v>1</v>
      </c>
      <c r="M18" s="37">
        <f t="shared" si="1"/>
        <v>50</v>
      </c>
      <c r="N18" s="37"/>
      <c r="O18" s="37"/>
      <c r="P18" s="38"/>
      <c r="Q18" s="38">
        <f>P18*N18</f>
        <v>0</v>
      </c>
      <c r="R18" s="37"/>
      <c r="S18" s="59"/>
    </row>
    <row r="19" spans="1:19" ht="24" x14ac:dyDescent="0.25">
      <c r="A19" s="1"/>
      <c r="B19" s="47">
        <f t="shared" si="0"/>
        <v>10</v>
      </c>
      <c r="C19" s="72" t="s">
        <v>12</v>
      </c>
      <c r="D19" s="73" t="s">
        <v>29</v>
      </c>
      <c r="E19" s="73" t="s">
        <v>59</v>
      </c>
      <c r="F19" s="73" t="s">
        <v>85</v>
      </c>
      <c r="G19" s="73" t="s">
        <v>108</v>
      </c>
      <c r="H19" s="73" t="s">
        <v>189</v>
      </c>
      <c r="I19" s="73" t="s">
        <v>189</v>
      </c>
      <c r="J19" s="73" t="s">
        <v>189</v>
      </c>
      <c r="K19" s="73" t="s">
        <v>189</v>
      </c>
      <c r="L19" s="73">
        <v>1</v>
      </c>
      <c r="M19" s="37">
        <f t="shared" si="1"/>
        <v>50</v>
      </c>
      <c r="N19" s="73" t="s">
        <v>189</v>
      </c>
      <c r="O19" s="73" t="s">
        <v>189</v>
      </c>
      <c r="P19" s="74" t="s">
        <v>189</v>
      </c>
      <c r="Q19" s="74" t="s">
        <v>189</v>
      </c>
      <c r="R19" s="51"/>
      <c r="S19" s="59"/>
    </row>
    <row r="20" spans="1:19" x14ac:dyDescent="0.25">
      <c r="A20" s="1"/>
      <c r="B20" s="46">
        <f>ROW(B20) - ROW($B$9)</f>
        <v>11</v>
      </c>
      <c r="C20" s="77" t="s">
        <v>190</v>
      </c>
      <c r="D20" s="76" t="s">
        <v>30</v>
      </c>
      <c r="E20" s="76" t="s">
        <v>189</v>
      </c>
      <c r="F20" s="76" t="s">
        <v>86</v>
      </c>
      <c r="G20" s="76" t="s">
        <v>189</v>
      </c>
      <c r="H20" s="76" t="s">
        <v>189</v>
      </c>
      <c r="I20" s="76" t="s">
        <v>189</v>
      </c>
      <c r="J20" s="76" t="s">
        <v>189</v>
      </c>
      <c r="K20" s="76" t="s">
        <v>189</v>
      </c>
      <c r="L20" s="76">
        <v>1</v>
      </c>
      <c r="M20" s="76">
        <f t="shared" si="1"/>
        <v>50</v>
      </c>
      <c r="N20" s="76" t="s">
        <v>189</v>
      </c>
      <c r="O20" s="76" t="s">
        <v>189</v>
      </c>
      <c r="P20" s="78"/>
      <c r="Q20" s="78" t="s">
        <v>189</v>
      </c>
      <c r="R20" s="76"/>
      <c r="S20" s="75"/>
    </row>
    <row r="21" spans="1:19" ht="24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189</v>
      </c>
      <c r="J21" s="51" t="s">
        <v>147</v>
      </c>
      <c r="K21" s="51" t="s">
        <v>169</v>
      </c>
      <c r="L21" s="51">
        <v>1</v>
      </c>
      <c r="M21" s="37">
        <f t="shared" si="1"/>
        <v>50</v>
      </c>
      <c r="N21" s="51">
        <v>55</v>
      </c>
      <c r="O21" s="71" t="s">
        <v>191</v>
      </c>
      <c r="P21" s="52">
        <v>7.0699999999999999E-2</v>
      </c>
      <c r="Q21" s="52">
        <f t="shared" ref="Q21" si="5">P21*N21</f>
        <v>3.8885000000000001</v>
      </c>
      <c r="R21" s="51"/>
      <c r="S21" s="59"/>
    </row>
    <row r="22" spans="1:19" ht="48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192</v>
      </c>
      <c r="G22" s="37" t="s">
        <v>88</v>
      </c>
      <c r="H22" s="37" t="s">
        <v>130</v>
      </c>
      <c r="I22" s="37" t="s">
        <v>189</v>
      </c>
      <c r="J22" s="37" t="s">
        <v>148</v>
      </c>
      <c r="K22" s="37" t="s">
        <v>189</v>
      </c>
      <c r="L22" s="37">
        <v>1</v>
      </c>
      <c r="M22" s="37">
        <f t="shared" si="1"/>
        <v>50</v>
      </c>
      <c r="N22" s="37">
        <v>10</v>
      </c>
      <c r="O22" s="70" t="s">
        <v>191</v>
      </c>
      <c r="P22" s="38">
        <v>5.6099999999999997E-2</v>
      </c>
      <c r="Q22" s="38">
        <f>P22*N22</f>
        <v>0.56099999999999994</v>
      </c>
      <c r="R22" s="37"/>
      <c r="S22" s="59"/>
    </row>
    <row r="23" spans="1:19" ht="72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189</v>
      </c>
      <c r="J23" s="51" t="s">
        <v>149</v>
      </c>
      <c r="K23" s="51"/>
      <c r="L23" s="51">
        <v>1</v>
      </c>
      <c r="M23" s="37">
        <f t="shared" si="1"/>
        <v>50</v>
      </c>
      <c r="N23" s="51">
        <v>20</v>
      </c>
      <c r="O23" s="71" t="s">
        <v>191</v>
      </c>
      <c r="P23" s="52">
        <v>3.3500000000000002E-2</v>
      </c>
      <c r="Q23" s="52">
        <f t="shared" ref="Q23" si="6">P23*N23</f>
        <v>0.67</v>
      </c>
      <c r="R23" s="51"/>
      <c r="S23" s="59"/>
    </row>
    <row r="24" spans="1:19" ht="24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189</v>
      </c>
      <c r="J24" s="37" t="s">
        <v>150</v>
      </c>
      <c r="K24" s="37" t="s">
        <v>170</v>
      </c>
      <c r="L24" s="37">
        <v>5</v>
      </c>
      <c r="M24" s="37">
        <f t="shared" si="1"/>
        <v>250</v>
      </c>
      <c r="N24" s="37">
        <v>100</v>
      </c>
      <c r="O24" s="70" t="s">
        <v>191</v>
      </c>
      <c r="P24" s="38">
        <v>8.0000000000000004E-4</v>
      </c>
      <c r="Q24" s="38">
        <f>P24*N24</f>
        <v>0.08</v>
      </c>
      <c r="R24" s="37"/>
      <c r="S24" s="59"/>
    </row>
    <row r="25" spans="1:19" ht="48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189</v>
      </c>
      <c r="J25" s="51" t="s">
        <v>151</v>
      </c>
      <c r="K25" s="51" t="s">
        <v>171</v>
      </c>
      <c r="L25" s="51">
        <v>1</v>
      </c>
      <c r="M25" s="37">
        <f t="shared" si="1"/>
        <v>50</v>
      </c>
      <c r="N25" s="51">
        <v>100</v>
      </c>
      <c r="O25" s="71" t="s">
        <v>191</v>
      </c>
      <c r="P25" s="52">
        <v>8.0000000000000004E-4</v>
      </c>
      <c r="Q25" s="52">
        <f t="shared" ref="Q25" si="7">P25*N25</f>
        <v>0.08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189</v>
      </c>
      <c r="J26" s="37" t="s">
        <v>152</v>
      </c>
      <c r="K26" s="37" t="s">
        <v>172</v>
      </c>
      <c r="L26" s="37">
        <v>1</v>
      </c>
      <c r="M26" s="37">
        <f t="shared" si="1"/>
        <v>50</v>
      </c>
      <c r="N26" s="37">
        <v>100</v>
      </c>
      <c r="O26" s="70" t="s">
        <v>191</v>
      </c>
      <c r="P26" s="38">
        <v>6.9999999999999999E-4</v>
      </c>
      <c r="Q26" s="38">
        <f>P26*N26</f>
        <v>6.9999999999999993E-2</v>
      </c>
      <c r="R26" s="37"/>
      <c r="S26" s="59"/>
    </row>
    <row r="27" spans="1:19" ht="48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189</v>
      </c>
      <c r="J27" s="51" t="s">
        <v>153</v>
      </c>
      <c r="K27" s="51" t="s">
        <v>173</v>
      </c>
      <c r="L27" s="51">
        <v>2</v>
      </c>
      <c r="M27" s="37">
        <f t="shared" si="1"/>
        <v>100</v>
      </c>
      <c r="N27" s="51">
        <v>50</v>
      </c>
      <c r="O27" s="71" t="s">
        <v>191</v>
      </c>
      <c r="P27" s="52">
        <v>4.5999999999999999E-3</v>
      </c>
      <c r="Q27" s="52">
        <f t="shared" ref="Q27" si="8">P27*N27</f>
        <v>0.22999999999999998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189</v>
      </c>
      <c r="J28" s="37" t="s">
        <v>154</v>
      </c>
      <c r="K28" s="37" t="s">
        <v>174</v>
      </c>
      <c r="L28" s="37">
        <v>4</v>
      </c>
      <c r="M28" s="37">
        <f t="shared" si="1"/>
        <v>200</v>
      </c>
      <c r="N28" s="37">
        <v>100</v>
      </c>
      <c r="O28" s="70" t="s">
        <v>191</v>
      </c>
      <c r="P28" s="38">
        <v>8.9999999999999998E-4</v>
      </c>
      <c r="Q28" s="38">
        <f>P28*N28</f>
        <v>0.09</v>
      </c>
      <c r="R28" s="37"/>
      <c r="S28" s="59"/>
    </row>
    <row r="29" spans="1:19" ht="25.5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189</v>
      </c>
      <c r="J29" s="51" t="s">
        <v>155</v>
      </c>
      <c r="K29" s="51" t="s">
        <v>189</v>
      </c>
      <c r="L29" s="51">
        <v>1</v>
      </c>
      <c r="M29" s="37">
        <f t="shared" si="1"/>
        <v>50</v>
      </c>
      <c r="N29" s="51">
        <v>10</v>
      </c>
      <c r="O29" s="71" t="s">
        <v>191</v>
      </c>
      <c r="P29" s="52">
        <v>0.2923</v>
      </c>
      <c r="Q29" s="52">
        <f t="shared" ref="Q29" si="9">P29*N29</f>
        <v>2.923</v>
      </c>
      <c r="R29" s="51"/>
      <c r="S29" s="59"/>
    </row>
    <row r="30" spans="1:19" ht="36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189</v>
      </c>
      <c r="J30" s="37" t="s">
        <v>156</v>
      </c>
      <c r="K30" s="37" t="s">
        <v>189</v>
      </c>
      <c r="L30" s="37">
        <v>1</v>
      </c>
      <c r="M30" s="37">
        <f t="shared" si="1"/>
        <v>50</v>
      </c>
      <c r="N30" s="37">
        <v>6</v>
      </c>
      <c r="O30" s="70" t="s">
        <v>191</v>
      </c>
      <c r="P30" s="38">
        <v>0.87819999999999998</v>
      </c>
      <c r="Q30" s="38">
        <f>P30*N30</f>
        <v>5.2691999999999997</v>
      </c>
      <c r="R30" s="37"/>
      <c r="S30" s="59"/>
    </row>
    <row r="31" spans="1:19" ht="24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189</v>
      </c>
      <c r="J31" s="51" t="s">
        <v>157</v>
      </c>
      <c r="K31" s="51"/>
      <c r="L31" s="51">
        <v>1</v>
      </c>
      <c r="M31" s="37">
        <f t="shared" si="1"/>
        <v>50</v>
      </c>
      <c r="N31" s="51"/>
      <c r="O31" s="51"/>
      <c r="P31" s="52"/>
      <c r="Q31" s="52">
        <f t="shared" ref="Q31" si="10">P31*N31</f>
        <v>0</v>
      </c>
      <c r="R31" s="51"/>
      <c r="S31" s="59"/>
    </row>
    <row r="32" spans="1:19" ht="24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189</v>
      </c>
      <c r="J32" s="37" t="s">
        <v>158</v>
      </c>
      <c r="K32" s="37"/>
      <c r="L32" s="37">
        <v>1</v>
      </c>
      <c r="M32" s="37">
        <f t="shared" si="1"/>
        <v>50</v>
      </c>
      <c r="N32" s="37">
        <v>10</v>
      </c>
      <c r="O32" s="70" t="s">
        <v>191</v>
      </c>
      <c r="P32" s="38">
        <v>7.9299999999999995E-2</v>
      </c>
      <c r="Q32" s="38">
        <f>P32*N32</f>
        <v>0.79299999999999993</v>
      </c>
      <c r="R32" s="37"/>
      <c r="S32" s="59"/>
    </row>
    <row r="33" spans="1:19" ht="24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185</v>
      </c>
      <c r="H33" s="51" t="s">
        <v>137</v>
      </c>
      <c r="I33" s="51" t="s">
        <v>189</v>
      </c>
      <c r="J33" s="51" t="s">
        <v>186</v>
      </c>
      <c r="K33" s="51"/>
      <c r="L33" s="51">
        <v>1</v>
      </c>
      <c r="M33" s="37">
        <f t="shared" si="1"/>
        <v>50</v>
      </c>
      <c r="N33" s="51">
        <v>6</v>
      </c>
      <c r="O33" s="71" t="s">
        <v>191</v>
      </c>
      <c r="P33" s="52">
        <v>0.81779999999999997</v>
      </c>
      <c r="Q33" s="52">
        <f t="shared" ref="Q33" si="11">P33*N33</f>
        <v>4.9067999999999996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189</v>
      </c>
      <c r="J34" s="37" t="s">
        <v>159</v>
      </c>
      <c r="K34" s="37"/>
      <c r="L34" s="37">
        <v>1</v>
      </c>
      <c r="M34" s="37">
        <f t="shared" si="1"/>
        <v>50</v>
      </c>
      <c r="N34" s="37">
        <v>10</v>
      </c>
      <c r="O34" s="70" t="s">
        <v>191</v>
      </c>
      <c r="P34" s="38">
        <v>0.1444</v>
      </c>
      <c r="Q34" s="38">
        <f>P34*N34</f>
        <v>1.444</v>
      </c>
      <c r="R34" s="37"/>
      <c r="S34" s="59"/>
    </row>
    <row r="35" spans="1:19" ht="24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189</v>
      </c>
      <c r="J35" s="51"/>
      <c r="K35" s="51"/>
      <c r="L35" s="51">
        <v>1</v>
      </c>
      <c r="M35" s="37">
        <f t="shared" si="1"/>
        <v>50</v>
      </c>
      <c r="N35" s="51"/>
      <c r="O35" s="51"/>
      <c r="P35" s="52"/>
      <c r="Q35" s="52">
        <f t="shared" ref="Q35" si="12">P35*N35</f>
        <v>0</v>
      </c>
      <c r="R35" s="51"/>
      <c r="S35" s="59"/>
    </row>
    <row r="36" spans="1:19" ht="24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189</v>
      </c>
      <c r="J36" s="37" t="s">
        <v>160</v>
      </c>
      <c r="K36" s="37"/>
      <c r="L36" s="37">
        <v>1</v>
      </c>
      <c r="M36" s="37">
        <f t="shared" si="1"/>
        <v>50</v>
      </c>
      <c r="N36" s="37">
        <v>6</v>
      </c>
      <c r="O36" s="70" t="s">
        <v>191</v>
      </c>
      <c r="P36" s="38">
        <v>0.33260000000000001</v>
      </c>
      <c r="Q36" s="38">
        <f>P36*N36</f>
        <v>1.9956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161</v>
      </c>
      <c r="K37" s="51"/>
      <c r="L37" s="51">
        <v>1</v>
      </c>
      <c r="M37" s="37">
        <f t="shared" si="1"/>
        <v>50</v>
      </c>
      <c r="N37" s="51">
        <v>6</v>
      </c>
      <c r="O37" s="71" t="s">
        <v>191</v>
      </c>
      <c r="P37" s="52">
        <v>2.3832</v>
      </c>
      <c r="Q37" s="52">
        <f t="shared" ref="Q37" si="13">P37*N37</f>
        <v>14.299199999999999</v>
      </c>
      <c r="R37" s="51"/>
      <c r="S37" s="59"/>
    </row>
    <row r="38" spans="1:19" ht="24.75" thickBot="1" x14ac:dyDescent="0.3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162</v>
      </c>
      <c r="K38" s="37"/>
      <c r="L38" s="37">
        <v>1</v>
      </c>
      <c r="M38" s="37">
        <f t="shared" si="1"/>
        <v>50</v>
      </c>
      <c r="N38" s="37">
        <v>6</v>
      </c>
      <c r="O38" s="70" t="s">
        <v>191</v>
      </c>
      <c r="P38" s="38">
        <v>1.6069</v>
      </c>
      <c r="Q38" s="38">
        <f>P38*N38</f>
        <v>9.6414000000000009</v>
      </c>
      <c r="R38" s="37"/>
      <c r="S38" s="39"/>
    </row>
    <row r="39" spans="1:19" ht="19.5" thickBot="1" x14ac:dyDescent="0.3">
      <c r="A39" s="1"/>
      <c r="B39" s="40"/>
      <c r="C39" s="41"/>
      <c r="D39" s="42"/>
      <c r="E39" s="43"/>
      <c r="F39" s="44"/>
      <c r="G39" s="45"/>
      <c r="H39" s="44"/>
      <c r="I39" s="45"/>
      <c r="J39" s="44"/>
      <c r="K39" s="45"/>
      <c r="L39" s="45"/>
      <c r="M39" s="45"/>
      <c r="N39" s="68" t="s">
        <v>5</v>
      </c>
      <c r="O39" s="69"/>
      <c r="P39" s="69"/>
      <c r="Q39" s="48">
        <f>SUM(Q10:Q38)</f>
        <v>79.651499999999999</v>
      </c>
      <c r="R39" s="64"/>
      <c r="S39" s="65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68" t="s">
        <v>6</v>
      </c>
      <c r="O40" s="69"/>
      <c r="P40" s="69"/>
      <c r="Q40" s="49">
        <f>Q39/5</f>
        <v>15.930299999999999</v>
      </c>
      <c r="R40" s="66"/>
      <c r="S40" s="67"/>
    </row>
  </sheetData>
  <mergeCells count="5">
    <mergeCell ref="K1:S1"/>
    <mergeCell ref="S3:S8"/>
    <mergeCell ref="N39:P39"/>
    <mergeCell ref="R39:S40"/>
    <mergeCell ref="N40:P40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</hyperlinks>
  <pageMargins left="0.7" right="0.7" top="0.75" bottom="0.75" header="0.3" footer="0.3"/>
  <drawing r:id="rId2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"/>
  <sheetViews>
    <sheetView workbookViewId="0">
      <selection sqref="A1:S40"/>
    </sheetView>
  </sheetViews>
  <sheetFormatPr defaultRowHeight="15" x14ac:dyDescent="0.25"/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7" t="s">
        <v>188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178</v>
      </c>
      <c r="N9" s="30" t="s">
        <v>179</v>
      </c>
      <c r="O9" s="30" t="s">
        <v>180</v>
      </c>
      <c r="P9" s="30" t="s">
        <v>181</v>
      </c>
      <c r="Q9" s="30" t="s">
        <v>182</v>
      </c>
      <c r="R9" s="30" t="s">
        <v>183</v>
      </c>
      <c r="S9" s="30" t="s">
        <v>184</v>
      </c>
    </row>
    <row r="10" spans="1:19" ht="36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189</v>
      </c>
      <c r="J10" s="37" t="s">
        <v>141</v>
      </c>
      <c r="K10" s="37" t="s">
        <v>163</v>
      </c>
      <c r="L10" s="37">
        <v>6</v>
      </c>
      <c r="M10" s="37">
        <f>L10*5</f>
        <v>30</v>
      </c>
      <c r="N10" s="37">
        <v>100</v>
      </c>
      <c r="O10" s="70" t="s">
        <v>191</v>
      </c>
      <c r="P10" s="38">
        <v>1.1000000000000001E-3</v>
      </c>
      <c r="Q10" s="38">
        <f>P10*N10</f>
        <v>0.11</v>
      </c>
      <c r="R10" s="37"/>
      <c r="S10" s="50"/>
    </row>
    <row r="11" spans="1:19" ht="36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189</v>
      </c>
      <c r="J11" s="51" t="s">
        <v>142</v>
      </c>
      <c r="K11" s="51" t="s">
        <v>164</v>
      </c>
      <c r="L11" s="51">
        <v>1</v>
      </c>
      <c r="M11" s="51">
        <f t="shared" ref="M11" si="1">L11*5</f>
        <v>5</v>
      </c>
      <c r="N11" s="51">
        <v>50</v>
      </c>
      <c r="O11" s="71" t="s">
        <v>191</v>
      </c>
      <c r="P11" s="52">
        <v>1.09E-2</v>
      </c>
      <c r="Q11" s="52">
        <f t="shared" ref="Q11" si="2">P11*N11</f>
        <v>0.54500000000000004</v>
      </c>
      <c r="R11" s="51"/>
      <c r="S11" s="51"/>
    </row>
    <row r="12" spans="1:19" ht="36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76" t="s">
        <v>104</v>
      </c>
      <c r="H12" s="37" t="s">
        <v>125</v>
      </c>
      <c r="I12" s="37" t="s">
        <v>193</v>
      </c>
      <c r="J12" s="37" t="s">
        <v>194</v>
      </c>
      <c r="K12" s="37" t="s">
        <v>165</v>
      </c>
      <c r="L12" s="37">
        <v>1</v>
      </c>
      <c r="M12" s="37">
        <f>L12*5</f>
        <v>5</v>
      </c>
      <c r="N12" s="37">
        <v>50</v>
      </c>
      <c r="O12" s="70" t="s">
        <v>191</v>
      </c>
      <c r="P12" s="38">
        <v>1.35E-2</v>
      </c>
      <c r="Q12" s="38">
        <f>P12*N12</f>
        <v>0.67500000000000004</v>
      </c>
      <c r="R12" s="37"/>
      <c r="S12" s="59"/>
    </row>
    <row r="13" spans="1:19" ht="36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189</v>
      </c>
      <c r="J13" s="51" t="s">
        <v>143</v>
      </c>
      <c r="K13" s="51" t="s">
        <v>166</v>
      </c>
      <c r="L13" s="51">
        <v>1</v>
      </c>
      <c r="M13" s="51">
        <f t="shared" ref="M13" si="3">L13*5</f>
        <v>5</v>
      </c>
      <c r="N13" s="51">
        <v>100</v>
      </c>
      <c r="O13" s="71" t="s">
        <v>191</v>
      </c>
      <c r="P13" s="52">
        <v>5.3E-3</v>
      </c>
      <c r="Q13" s="52">
        <f t="shared" ref="Q13" si="4">P13*N13</f>
        <v>0.53</v>
      </c>
      <c r="R13" s="51"/>
      <c r="S13" s="59"/>
    </row>
    <row r="14" spans="1:19" ht="36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189</v>
      </c>
      <c r="J14" s="37" t="s">
        <v>144</v>
      </c>
      <c r="K14" s="37" t="s">
        <v>167</v>
      </c>
      <c r="L14" s="37">
        <v>1</v>
      </c>
      <c r="M14" s="37">
        <f>L14*5</f>
        <v>5</v>
      </c>
      <c r="N14" s="37">
        <v>20</v>
      </c>
      <c r="O14" s="70" t="s">
        <v>191</v>
      </c>
      <c r="P14" s="38">
        <v>3.44E-2</v>
      </c>
      <c r="Q14" s="38">
        <f>P14*N14</f>
        <v>0.68799999999999994</v>
      </c>
      <c r="R14" s="37"/>
      <c r="S14" s="59"/>
    </row>
    <row r="15" spans="1:19" ht="36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192</v>
      </c>
      <c r="G15" s="51" t="s">
        <v>82</v>
      </c>
      <c r="H15" s="51" t="s">
        <v>127</v>
      </c>
      <c r="I15" s="51" t="s">
        <v>189</v>
      </c>
      <c r="J15" s="51" t="s">
        <v>145</v>
      </c>
      <c r="K15" s="51" t="s">
        <v>168</v>
      </c>
      <c r="L15" s="51">
        <v>1</v>
      </c>
      <c r="M15" s="51">
        <f t="shared" ref="M15" si="5">L15*5</f>
        <v>5</v>
      </c>
      <c r="N15" s="51">
        <v>6</v>
      </c>
      <c r="O15" s="71" t="s">
        <v>191</v>
      </c>
      <c r="P15" s="52">
        <v>0.5998</v>
      </c>
      <c r="Q15" s="52">
        <f t="shared" ref="Q15" si="6">P15*N15</f>
        <v>3.5987999999999998</v>
      </c>
      <c r="R15" s="51"/>
      <c r="S15" s="59"/>
    </row>
    <row r="16" spans="1:19" ht="36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189</v>
      </c>
      <c r="J16" s="37" t="s">
        <v>146</v>
      </c>
      <c r="K16" s="37" t="s">
        <v>166</v>
      </c>
      <c r="L16" s="37">
        <v>1</v>
      </c>
      <c r="M16" s="37">
        <f>L16*5</f>
        <v>5</v>
      </c>
      <c r="N16" s="37">
        <v>10</v>
      </c>
      <c r="O16" s="70" t="s">
        <v>191</v>
      </c>
      <c r="P16" s="38">
        <v>6.3100000000000003E-2</v>
      </c>
      <c r="Q16" s="38">
        <f>P16*N16</f>
        <v>0.63100000000000001</v>
      </c>
      <c r="R16" s="37"/>
      <c r="S16" s="59"/>
    </row>
    <row r="17" spans="1:19" ht="48" x14ac:dyDescent="0.25">
      <c r="A17" s="1"/>
      <c r="B17" s="47">
        <f t="shared" si="0"/>
        <v>8</v>
      </c>
      <c r="C17" s="72" t="s">
        <v>10</v>
      </c>
      <c r="D17" s="73" t="s">
        <v>27</v>
      </c>
      <c r="E17" s="73" t="s">
        <v>57</v>
      </c>
      <c r="F17" s="73" t="s">
        <v>192</v>
      </c>
      <c r="G17" s="73" t="s">
        <v>83</v>
      </c>
      <c r="H17" s="73" t="s">
        <v>189</v>
      </c>
      <c r="I17" s="73" t="s">
        <v>189</v>
      </c>
      <c r="J17" s="73" t="s">
        <v>189</v>
      </c>
      <c r="K17" s="73"/>
      <c r="L17" s="73">
        <v>4</v>
      </c>
      <c r="M17" s="73">
        <f t="shared" ref="M17" si="7">L17*5</f>
        <v>20</v>
      </c>
      <c r="N17" s="73" t="s">
        <v>189</v>
      </c>
      <c r="O17" s="73" t="s">
        <v>189</v>
      </c>
      <c r="P17" s="74" t="s">
        <v>189</v>
      </c>
      <c r="Q17" s="74" t="s">
        <v>189</v>
      </c>
      <c r="R17" s="73"/>
      <c r="S17" s="75"/>
    </row>
    <row r="18" spans="1:19" ht="84" x14ac:dyDescent="0.25">
      <c r="A18" s="1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/>
      <c r="J18" s="37"/>
      <c r="K18" s="37"/>
      <c r="L18" s="37">
        <v>1</v>
      </c>
      <c r="M18" s="37">
        <f>L18*5</f>
        <v>5</v>
      </c>
      <c r="N18" s="37"/>
      <c r="O18" s="37"/>
      <c r="P18" s="38"/>
      <c r="Q18" s="38">
        <f>P18*N18</f>
        <v>0</v>
      </c>
      <c r="R18" s="37"/>
      <c r="S18" s="59"/>
    </row>
    <row r="19" spans="1:19" ht="36" x14ac:dyDescent="0.25">
      <c r="A19" s="1"/>
      <c r="B19" s="47">
        <f t="shared" si="0"/>
        <v>10</v>
      </c>
      <c r="C19" s="72" t="s">
        <v>12</v>
      </c>
      <c r="D19" s="73" t="s">
        <v>29</v>
      </c>
      <c r="E19" s="73" t="s">
        <v>59</v>
      </c>
      <c r="F19" s="73" t="s">
        <v>85</v>
      </c>
      <c r="G19" s="73" t="s">
        <v>108</v>
      </c>
      <c r="H19" s="73" t="s">
        <v>189</v>
      </c>
      <c r="I19" s="73" t="s">
        <v>189</v>
      </c>
      <c r="J19" s="73" t="s">
        <v>189</v>
      </c>
      <c r="K19" s="73" t="s">
        <v>189</v>
      </c>
      <c r="L19" s="73">
        <v>1</v>
      </c>
      <c r="M19" s="73">
        <f t="shared" ref="M19" si="8">L19*5</f>
        <v>5</v>
      </c>
      <c r="N19" s="73" t="s">
        <v>189</v>
      </c>
      <c r="O19" s="73" t="s">
        <v>189</v>
      </c>
      <c r="P19" s="74" t="s">
        <v>189</v>
      </c>
      <c r="Q19" s="74" t="s">
        <v>189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190</v>
      </c>
      <c r="D20" s="37" t="s">
        <v>30</v>
      </c>
      <c r="E20" s="37" t="s">
        <v>189</v>
      </c>
      <c r="F20" s="37" t="s">
        <v>86</v>
      </c>
      <c r="G20" s="37" t="s">
        <v>189</v>
      </c>
      <c r="H20" s="37" t="s">
        <v>189</v>
      </c>
      <c r="I20" s="37" t="s">
        <v>189</v>
      </c>
      <c r="J20" s="37" t="s">
        <v>189</v>
      </c>
      <c r="K20" s="37" t="s">
        <v>189</v>
      </c>
      <c r="L20" s="37">
        <v>1</v>
      </c>
      <c r="M20" s="37">
        <f>L20*5</f>
        <v>5</v>
      </c>
      <c r="N20" s="37" t="s">
        <v>189</v>
      </c>
      <c r="O20" s="37" t="s">
        <v>189</v>
      </c>
      <c r="P20" s="38"/>
      <c r="Q20" s="38" t="s">
        <v>189</v>
      </c>
      <c r="R20" s="37"/>
      <c r="S20" s="59"/>
    </row>
    <row r="21" spans="1:19" ht="60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189</v>
      </c>
      <c r="J21" s="51" t="s">
        <v>147</v>
      </c>
      <c r="K21" s="51" t="s">
        <v>169</v>
      </c>
      <c r="L21" s="51">
        <v>1</v>
      </c>
      <c r="M21" s="51">
        <f t="shared" ref="M21" si="9">L21*5</f>
        <v>5</v>
      </c>
      <c r="N21" s="51">
        <v>10</v>
      </c>
      <c r="O21" s="71" t="s">
        <v>191</v>
      </c>
      <c r="P21" s="52">
        <v>8.4000000000000005E-2</v>
      </c>
      <c r="Q21" s="52">
        <f t="shared" ref="Q21" si="10">P21*N21</f>
        <v>0.84000000000000008</v>
      </c>
      <c r="R21" s="51"/>
      <c r="S21" s="59"/>
    </row>
    <row r="22" spans="1:19" ht="132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192</v>
      </c>
      <c r="G22" s="37" t="s">
        <v>88</v>
      </c>
      <c r="H22" s="37" t="s">
        <v>130</v>
      </c>
      <c r="I22" s="37" t="s">
        <v>189</v>
      </c>
      <c r="J22" s="37" t="s">
        <v>148</v>
      </c>
      <c r="K22" s="37" t="s">
        <v>189</v>
      </c>
      <c r="L22" s="37">
        <v>1</v>
      </c>
      <c r="M22" s="37">
        <f>L22*5</f>
        <v>5</v>
      </c>
      <c r="N22" s="37">
        <v>10</v>
      </c>
      <c r="O22" s="70" t="s">
        <v>191</v>
      </c>
      <c r="P22" s="38">
        <v>5.6099999999999997E-2</v>
      </c>
      <c r="Q22" s="38">
        <f>P22*N22</f>
        <v>0.56099999999999994</v>
      </c>
      <c r="R22" s="37"/>
      <c r="S22" s="59"/>
    </row>
    <row r="23" spans="1:19" ht="192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189</v>
      </c>
      <c r="J23" s="51" t="s">
        <v>149</v>
      </c>
      <c r="K23" s="51"/>
      <c r="L23" s="51">
        <v>1</v>
      </c>
      <c r="M23" s="51">
        <f t="shared" ref="M23" si="11">L23*5</f>
        <v>5</v>
      </c>
      <c r="N23" s="51">
        <v>20</v>
      </c>
      <c r="O23" s="71" t="s">
        <v>191</v>
      </c>
      <c r="P23" s="52">
        <v>3.3500000000000002E-2</v>
      </c>
      <c r="Q23" s="52">
        <f t="shared" ref="Q23" si="12">P23*N23</f>
        <v>0.67</v>
      </c>
      <c r="R23" s="51"/>
      <c r="S23" s="59"/>
    </row>
    <row r="24" spans="1:19" ht="48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189</v>
      </c>
      <c r="J24" s="37" t="s">
        <v>150</v>
      </c>
      <c r="K24" s="37" t="s">
        <v>170</v>
      </c>
      <c r="L24" s="37">
        <v>5</v>
      </c>
      <c r="M24" s="37">
        <f>L24*5</f>
        <v>25</v>
      </c>
      <c r="N24" s="37">
        <v>100</v>
      </c>
      <c r="O24" s="70" t="s">
        <v>191</v>
      </c>
      <c r="P24" s="38">
        <v>8.0000000000000004E-4</v>
      </c>
      <c r="Q24" s="38">
        <f>P24*N24</f>
        <v>0.08</v>
      </c>
      <c r="R24" s="37"/>
      <c r="S24" s="59"/>
    </row>
    <row r="25" spans="1:19" ht="132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189</v>
      </c>
      <c r="J25" s="51" t="s">
        <v>151</v>
      </c>
      <c r="K25" s="51" t="s">
        <v>171</v>
      </c>
      <c r="L25" s="51">
        <v>1</v>
      </c>
      <c r="M25" s="51">
        <f t="shared" ref="M25" si="13">L25*5</f>
        <v>5</v>
      </c>
      <c r="N25" s="51">
        <v>100</v>
      </c>
      <c r="O25" s="71" t="s">
        <v>191</v>
      </c>
      <c r="P25" s="52">
        <v>8.0000000000000004E-4</v>
      </c>
      <c r="Q25" s="52">
        <f t="shared" ref="Q25" si="14">P25*N25</f>
        <v>0.08</v>
      </c>
      <c r="R25" s="51"/>
      <c r="S25" s="59"/>
    </row>
    <row r="26" spans="1:19" ht="132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189</v>
      </c>
      <c r="J26" s="37" t="s">
        <v>152</v>
      </c>
      <c r="K26" s="37" t="s">
        <v>172</v>
      </c>
      <c r="L26" s="37">
        <v>1</v>
      </c>
      <c r="M26" s="37">
        <f>L26*5</f>
        <v>5</v>
      </c>
      <c r="N26" s="37">
        <v>100</v>
      </c>
      <c r="O26" s="70" t="s">
        <v>191</v>
      </c>
      <c r="P26" s="38">
        <v>6.9999999999999999E-4</v>
      </c>
      <c r="Q26" s="38">
        <f>P26*N26</f>
        <v>6.9999999999999993E-2</v>
      </c>
      <c r="R26" s="37"/>
      <c r="S26" s="59"/>
    </row>
    <row r="27" spans="1:19" ht="120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189</v>
      </c>
      <c r="J27" s="51" t="s">
        <v>153</v>
      </c>
      <c r="K27" s="51" t="s">
        <v>173</v>
      </c>
      <c r="L27" s="51">
        <v>2</v>
      </c>
      <c r="M27" s="51">
        <f t="shared" ref="M27" si="15">L27*5</f>
        <v>10</v>
      </c>
      <c r="N27" s="51">
        <v>50</v>
      </c>
      <c r="O27" s="71" t="s">
        <v>191</v>
      </c>
      <c r="P27" s="52">
        <v>4.5999999999999999E-3</v>
      </c>
      <c r="Q27" s="52">
        <f t="shared" ref="Q27" si="16">P27*N27</f>
        <v>0.22999999999999998</v>
      </c>
      <c r="R27" s="51"/>
      <c r="S27" s="59"/>
    </row>
    <row r="28" spans="1:19" ht="48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189</v>
      </c>
      <c r="J28" s="37" t="s">
        <v>154</v>
      </c>
      <c r="K28" s="37" t="s">
        <v>174</v>
      </c>
      <c r="L28" s="37">
        <v>4</v>
      </c>
      <c r="M28" s="37">
        <f>L28*5</f>
        <v>20</v>
      </c>
      <c r="N28" s="37">
        <v>100</v>
      </c>
      <c r="O28" s="70" t="s">
        <v>191</v>
      </c>
      <c r="P28" s="38">
        <v>8.9999999999999998E-4</v>
      </c>
      <c r="Q28" s="38">
        <f>P28*N28</f>
        <v>0.09</v>
      </c>
      <c r="R28" s="37"/>
      <c r="S28" s="59"/>
    </row>
    <row r="29" spans="1:19" ht="48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189</v>
      </c>
      <c r="J29" s="51" t="s">
        <v>155</v>
      </c>
      <c r="K29" s="51" t="s">
        <v>189</v>
      </c>
      <c r="L29" s="51">
        <v>1</v>
      </c>
      <c r="M29" s="51">
        <f t="shared" ref="M29" si="17">L29*5</f>
        <v>5</v>
      </c>
      <c r="N29" s="51">
        <v>10</v>
      </c>
      <c r="O29" s="71" t="s">
        <v>191</v>
      </c>
      <c r="P29" s="52">
        <v>0.2923</v>
      </c>
      <c r="Q29" s="52">
        <f t="shared" ref="Q29" si="18">P29*N29</f>
        <v>2.923</v>
      </c>
      <c r="R29" s="51"/>
      <c r="S29" s="59"/>
    </row>
    <row r="30" spans="1:19" ht="48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189</v>
      </c>
      <c r="J30" s="37" t="s">
        <v>156</v>
      </c>
      <c r="K30" s="37" t="s">
        <v>189</v>
      </c>
      <c r="L30" s="37">
        <v>1</v>
      </c>
      <c r="M30" s="37">
        <f>L30*5</f>
        <v>5</v>
      </c>
      <c r="N30" s="37">
        <v>6</v>
      </c>
      <c r="O30" s="70" t="s">
        <v>191</v>
      </c>
      <c r="P30" s="38">
        <v>0.87819999999999998</v>
      </c>
      <c r="Q30" s="38">
        <f>P30*N30</f>
        <v>5.2691999999999997</v>
      </c>
      <c r="R30" s="37"/>
      <c r="S30" s="59"/>
    </row>
    <row r="31" spans="1:19" ht="60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189</v>
      </c>
      <c r="J31" s="51" t="s">
        <v>157</v>
      </c>
      <c r="K31" s="51"/>
      <c r="L31" s="51">
        <v>1</v>
      </c>
      <c r="M31" s="51">
        <f t="shared" ref="M31" si="19">L31*5</f>
        <v>5</v>
      </c>
      <c r="N31" s="51"/>
      <c r="O31" s="51"/>
      <c r="P31" s="52"/>
      <c r="Q31" s="52">
        <f t="shared" ref="Q31" si="20">P31*N31</f>
        <v>0</v>
      </c>
      <c r="R31" s="51"/>
      <c r="S31" s="59"/>
    </row>
    <row r="32" spans="1:19" ht="48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189</v>
      </c>
      <c r="J32" s="37" t="s">
        <v>158</v>
      </c>
      <c r="K32" s="37"/>
      <c r="L32" s="37">
        <v>1</v>
      </c>
      <c r="M32" s="37">
        <f>L32*5</f>
        <v>5</v>
      </c>
      <c r="N32" s="37">
        <v>10</v>
      </c>
      <c r="O32" s="70" t="s">
        <v>191</v>
      </c>
      <c r="P32" s="38">
        <v>7.9299999999999995E-2</v>
      </c>
      <c r="Q32" s="38">
        <f>P32*N32</f>
        <v>0.79299999999999993</v>
      </c>
      <c r="R32" s="37"/>
      <c r="S32" s="59"/>
    </row>
    <row r="33" spans="1:19" ht="60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185</v>
      </c>
      <c r="H33" s="51" t="s">
        <v>137</v>
      </c>
      <c r="I33" s="51" t="s">
        <v>189</v>
      </c>
      <c r="J33" s="51" t="s">
        <v>186</v>
      </c>
      <c r="K33" s="51"/>
      <c r="L33" s="51">
        <v>1</v>
      </c>
      <c r="M33" s="51">
        <f t="shared" ref="M33" si="21">L33*5</f>
        <v>5</v>
      </c>
      <c r="N33" s="51">
        <v>6</v>
      </c>
      <c r="O33" s="71" t="s">
        <v>191</v>
      </c>
      <c r="P33" s="52">
        <v>0.81779999999999997</v>
      </c>
      <c r="Q33" s="52">
        <f t="shared" ref="Q33" si="22">P33*N33</f>
        <v>4.9067999999999996</v>
      </c>
      <c r="R33" s="51"/>
      <c r="S33" s="59"/>
    </row>
    <row r="34" spans="1:19" ht="36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189</v>
      </c>
      <c r="J34" s="37" t="s">
        <v>159</v>
      </c>
      <c r="K34" s="37"/>
      <c r="L34" s="37">
        <v>1</v>
      </c>
      <c r="M34" s="37">
        <f>L34*5</f>
        <v>5</v>
      </c>
      <c r="N34" s="37">
        <v>10</v>
      </c>
      <c r="O34" s="70" t="s">
        <v>191</v>
      </c>
      <c r="P34" s="38">
        <v>0.1444</v>
      </c>
      <c r="Q34" s="38">
        <f>P34*N34</f>
        <v>1.444</v>
      </c>
      <c r="R34" s="37"/>
      <c r="S34" s="59"/>
    </row>
    <row r="35" spans="1:19" ht="48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189</v>
      </c>
      <c r="J35" s="51"/>
      <c r="K35" s="51"/>
      <c r="L35" s="51">
        <v>1</v>
      </c>
      <c r="M35" s="51">
        <f t="shared" ref="M35" si="23">L35*5</f>
        <v>5</v>
      </c>
      <c r="N35" s="51"/>
      <c r="O35" s="51"/>
      <c r="P35" s="52"/>
      <c r="Q35" s="52">
        <f t="shared" ref="Q35" si="24">P35*N35</f>
        <v>0</v>
      </c>
      <c r="R35" s="51"/>
      <c r="S35" s="59"/>
    </row>
    <row r="36" spans="1:19" ht="48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189</v>
      </c>
      <c r="J36" s="37" t="s">
        <v>160</v>
      </c>
      <c r="K36" s="37"/>
      <c r="L36" s="37">
        <v>1</v>
      </c>
      <c r="M36" s="37">
        <f>L36*5</f>
        <v>5</v>
      </c>
      <c r="N36" s="37">
        <v>6</v>
      </c>
      <c r="O36" s="70" t="s">
        <v>191</v>
      </c>
      <c r="P36" s="38">
        <v>0.33260000000000001</v>
      </c>
      <c r="Q36" s="38">
        <f>P36*N36</f>
        <v>1.9956</v>
      </c>
      <c r="R36" s="37"/>
      <c r="S36" s="59"/>
    </row>
    <row r="37" spans="1:19" ht="48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161</v>
      </c>
      <c r="K37" s="51"/>
      <c r="L37" s="51">
        <v>1</v>
      </c>
      <c r="M37" s="51">
        <f t="shared" ref="M37" si="25">L37*5</f>
        <v>5</v>
      </c>
      <c r="N37" s="51">
        <v>6</v>
      </c>
      <c r="O37" s="71" t="s">
        <v>191</v>
      </c>
      <c r="P37" s="52">
        <v>2.3832</v>
      </c>
      <c r="Q37" s="52">
        <f t="shared" ref="Q37" si="26">P37*N37</f>
        <v>14.299199999999999</v>
      </c>
      <c r="R37" s="51"/>
      <c r="S37" s="59"/>
    </row>
    <row r="38" spans="1:19" ht="48.75" thickBot="1" x14ac:dyDescent="0.3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162</v>
      </c>
      <c r="K38" s="37"/>
      <c r="L38" s="37">
        <v>1</v>
      </c>
      <c r="M38" s="37">
        <f>L38*5</f>
        <v>5</v>
      </c>
      <c r="N38" s="37">
        <v>6</v>
      </c>
      <c r="O38" s="70" t="s">
        <v>191</v>
      </c>
      <c r="P38" s="38">
        <v>1.6069</v>
      </c>
      <c r="Q38" s="38">
        <f>P38*N38</f>
        <v>9.6414000000000009</v>
      </c>
      <c r="R38" s="37"/>
      <c r="S38" s="39"/>
    </row>
    <row r="39" spans="1:19" ht="19.5" thickBot="1" x14ac:dyDescent="0.3">
      <c r="A39" s="1"/>
      <c r="B39" s="40"/>
      <c r="C39" s="41"/>
      <c r="D39" s="42"/>
      <c r="E39" s="43"/>
      <c r="F39" s="44"/>
      <c r="G39" s="45"/>
      <c r="H39" s="44"/>
      <c r="I39" s="45"/>
      <c r="J39" s="44"/>
      <c r="K39" s="45"/>
      <c r="L39" s="45"/>
      <c r="M39" s="45"/>
      <c r="N39" s="68" t="s">
        <v>5</v>
      </c>
      <c r="O39" s="69"/>
      <c r="P39" s="69"/>
      <c r="Q39" s="48">
        <f>SUM(Q10:Q38)</f>
        <v>50.671000000000006</v>
      </c>
      <c r="R39" s="64"/>
      <c r="S39" s="65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68" t="s">
        <v>6</v>
      </c>
      <c r="O40" s="69"/>
      <c r="P40" s="69"/>
      <c r="Q40" s="49">
        <f>Q39/5</f>
        <v>10.134200000000002</v>
      </c>
      <c r="R40" s="66"/>
      <c r="S40" s="67"/>
    </row>
  </sheetData>
  <mergeCells count="5">
    <mergeCell ref="K1:S1"/>
    <mergeCell ref="S3:S8"/>
    <mergeCell ref="N39:P39"/>
    <mergeCell ref="R39:S40"/>
    <mergeCell ref="N40:P40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</hyperlinks>
  <pageMargins left="0.7" right="0.7" top="0.75" bottom="0.75" header="0.3" footer="0.3"/>
  <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10 Boards</vt:lpstr>
      <vt:lpstr>20 Boards</vt:lpstr>
      <vt:lpstr>50 Boards</vt:lpstr>
      <vt:lpstr>100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2023-08-24T12:47:02Z</dcterms:modified>
</cp:coreProperties>
</file>