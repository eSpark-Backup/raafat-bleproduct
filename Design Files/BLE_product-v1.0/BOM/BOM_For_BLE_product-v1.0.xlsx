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aafat-BLEproduct\Design Files\BLE_product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8" i="1" l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<sst xmlns="http://schemas.openxmlformats.org/spreadsheetml/2006/main" count="275" uniqueCount="168">
  <si>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</si>
  <si>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</si>
  <si>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</si>
  <si>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</si>
  <si>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</si>
  <si>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</si>
  <si>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</si>
  <si>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</si>
  <si>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SMD Pad</t>
  </si>
  <si>
    <t>DC Jack Female</t>
  </si>
  <si>
    <t>SMD Pads</t>
  </si>
  <si>
    <t>Inductor</t>
  </si>
  <si>
    <t>RGB LED</t>
  </si>
  <si>
    <t>Mosfet</t>
  </si>
  <si>
    <t>Resistor</t>
  </si>
  <si>
    <t>Tactile Switch</t>
  </si>
  <si>
    <t>IC</t>
  </si>
  <si>
    <t>Designator</t>
  </si>
  <si>
    <t>C1, C7, C9, C10, C11, C12</t>
  </si>
  <si>
    <t>C2</t>
  </si>
  <si>
    <t>C3</t>
  </si>
  <si>
    <t>C4</t>
  </si>
  <si>
    <t>C5</t>
  </si>
  <si>
    <t>C6</t>
  </si>
  <si>
    <t>C8</t>
  </si>
  <si>
    <t>J1, J2, J5, J6</t>
  </si>
  <si>
    <t>J3</t>
  </si>
  <si>
    <t>J4</t>
  </si>
  <si>
    <t>J7</t>
  </si>
  <si>
    <t>L1</t>
  </si>
  <si>
    <t>LED1</t>
  </si>
  <si>
    <t>Q1</t>
  </si>
  <si>
    <t>R1, R3, R5, R12, R13</t>
  </si>
  <si>
    <t>R2</t>
  </si>
  <si>
    <t>R4</t>
  </si>
  <si>
    <t>R6, R9</t>
  </si>
  <si>
    <t>R7, R8, R10, R11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</si>
  <si>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</si>
  <si>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</si>
  <si>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</si>
  <si>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</si>
  <si>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</si>
  <si>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</si>
  <si>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</si>
  <si>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</si>
  <si>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</si>
  <si>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</si>
  <si>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</si>
  <si>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0.1UF 10V X5R 0201</t>
  </si>
  <si>
    <t>CAP CER 10UF 10V X5R 0402</t>
  </si>
  <si>
    <t>CAP CER 22UF 10V X5R 0603</t>
  </si>
  <si>
    <t>CAP CER 1UF 10V X5R 0201</t>
  </si>
  <si>
    <t>CAP CER 2.2UF 10V X5R 0201</t>
  </si>
  <si>
    <t>CAP TANT 100UF 20% 6.3V 0603</t>
  </si>
  <si>
    <t>CAP CER 1UF 16V X5R 0201</t>
  </si>
  <si>
    <t>Wire Connecting Pad 0.5mm</t>
  </si>
  <si>
    <t>DC Power Jack Socket Female Panel Mount Connector</t>
  </si>
  <si>
    <t>Wire Connecting Pad</t>
  </si>
  <si>
    <t>FIXED IND 470NH 3.4A 52 MOHM SMD</t>
  </si>
  <si>
    <t>Colorless transparence -40℃~+150℃ 正贴 RGB 120° 1010 Light Emitting Diodes (LED) ROHS</t>
  </si>
  <si>
    <t>40V 100mW 100@10mA,1V 200mA 300MHz 300mV@50mA,5mA NPN -55℃~+150℃@(Tj) SOT-723 Bipolar Transistors - BJT ROHS</t>
  </si>
  <si>
    <t>RES SMD 10K OHM 5% 1/20W 0201</t>
  </si>
  <si>
    <t>50mW Thick Film Resistors ±1% ±200ppm/℃ 22kΩ 0201 Chip Resistor - Surface Mount ROHS</t>
  </si>
  <si>
    <t>50mW Thick Film Resistors ±1% ±200ppm/℃ 33kΩ 0201 Chip Resistor - Surface Mount ROHS</t>
  </si>
  <si>
    <t>50mW Thick Film Resistors ±0.5% 100kΩ 0201 Chip Resistor - Surface Mount ROHS</t>
  </si>
  <si>
    <t>RES 4.7K OHM 1% 1/20W 0201</t>
  </si>
  <si>
    <t>SWITCH TACTILE SPST-NO 0.05A 12V</t>
  </si>
  <si>
    <t>IC REG BOOST 5V 1A 9WLCSP</t>
  </si>
  <si>
    <t>IC SUPERVISOR 1 CHANNEL 6WLP</t>
  </si>
  <si>
    <t>IC REG LINEAR 3V 300MA 4X2SON</t>
  </si>
  <si>
    <t>500MA USB COMPATIBLE SINGLE CELL</t>
  </si>
  <si>
    <t>MOSFET P-CH 20V 3.6A 3LGA</t>
  </si>
  <si>
    <t>RF TXRX MODULE BT TRACE ANT SMD</t>
  </si>
  <si>
    <t>MOSFET N-CH 20V 224MA 3XLLGA</t>
  </si>
  <si>
    <t>IMU ACCEL/GYRO I2C/SPI 14LGA</t>
  </si>
  <si>
    <t>SENSOR FLIPCORE/HALL SPI 12WLCSP</t>
  </si>
  <si>
    <t>Footprint</t>
  </si>
  <si>
    <t>CAP-0201</t>
  </si>
  <si>
    <t>Cap-0402</t>
  </si>
  <si>
    <t>Cap-0603</t>
  </si>
  <si>
    <t>F980J107MMAAXE</t>
  </si>
  <si>
    <t>1 Sensor Pad 0.5mm</t>
  </si>
  <si>
    <t>DC-096</t>
  </si>
  <si>
    <t>Sensor-Pads 0.5mm Dia</t>
  </si>
  <si>
    <t>IND-0806</t>
  </si>
  <si>
    <t>XL-1010RGBC-WS2812B</t>
  </si>
  <si>
    <t>SOT-723</t>
  </si>
  <si>
    <t>Res-0201</t>
  </si>
  <si>
    <t>EVQP7A01P</t>
  </si>
  <si>
    <t>WLCSP-9 (1.22x1.22)</t>
  </si>
  <si>
    <t>WLP-6(0.83x1.24)</t>
  </si>
  <si>
    <t>X2-SON-4(1x1)</t>
  </si>
  <si>
    <t>DFN-6-EP(2x2)</t>
  </si>
  <si>
    <t>PicoStar-3</t>
  </si>
  <si>
    <t>EYSHSNZWZ</t>
  </si>
  <si>
    <t>X-LLGA-3</t>
  </si>
  <si>
    <t>14-LGA (2.5x3)</t>
  </si>
  <si>
    <t>12-WLCSP (1.56x1.56)</t>
  </si>
  <si>
    <t>Manufacturer Part Number</t>
  </si>
  <si>
    <t>CC0201KRX5R6BB104</t>
  </si>
  <si>
    <t>CL05A106MP5NUNC</t>
  </si>
  <si>
    <t>CC0603MRX5R6BB226</t>
  </si>
  <si>
    <t>CC0201MRX5R6BB105</t>
  </si>
  <si>
    <t>CC0201MRX5R6BB225</t>
  </si>
  <si>
    <t>CC0201MRX5R7BB105</t>
  </si>
  <si>
    <t>Sensor Pads</t>
  </si>
  <si>
    <t>1286AS-H-R47M=P2</t>
  </si>
  <si>
    <t>MMBT3904M</t>
  </si>
  <si>
    <t>RC0201JR-0710KL</t>
  </si>
  <si>
    <t>0201WMF2202TEE</t>
  </si>
  <si>
    <t>0201WMF3302TEE</t>
  </si>
  <si>
    <t>0201WMD1003TEE</t>
  </si>
  <si>
    <t>RC0201FR-074K7L</t>
  </si>
  <si>
    <t>EVQ-P7A01P</t>
  </si>
  <si>
    <t>FAN48610UC50X</t>
  </si>
  <si>
    <t>MAX16150AWT+</t>
  </si>
  <si>
    <t>TLV73330PDQNR</t>
  </si>
  <si>
    <t>CSD25501F3</t>
  </si>
  <si>
    <t>NTNS3193NZT5G</t>
  </si>
  <si>
    <t>BMI323</t>
  </si>
  <si>
    <t>BMM150</t>
  </si>
  <si>
    <t>Manufacturer</t>
  </si>
  <si>
    <t>Yageo</t>
  </si>
  <si>
    <t>Samsung</t>
  </si>
  <si>
    <t>Kyocera AVX</t>
  </si>
  <si>
    <t>CW Switch Elec. Store</t>
  </si>
  <si>
    <t>Murata</t>
  </si>
  <si>
    <t>XINGLIGHT</t>
  </si>
  <si>
    <t>TECH PUBLIC</t>
  </si>
  <si>
    <t>UNI-ROYAL</t>
  </si>
  <si>
    <t>Panasonic</t>
  </si>
  <si>
    <t>ON Semiconductor / Fairchild</t>
  </si>
  <si>
    <t>Analog Devices</t>
  </si>
  <si>
    <t>Texas Instruments</t>
  </si>
  <si>
    <t>ON Semiconductor</t>
  </si>
  <si>
    <t>Taiyo Yuden</t>
  </si>
  <si>
    <t>Bosch Sensortec</t>
  </si>
  <si>
    <t>0.1uF</t>
  </si>
  <si>
    <t>10uF</t>
  </si>
  <si>
    <t>22uF</t>
  </si>
  <si>
    <t>1uF</t>
  </si>
  <si>
    <t>2.2uF</t>
  </si>
  <si>
    <t>100uF</t>
  </si>
  <si>
    <t>470nH</t>
  </si>
  <si>
    <t>10K</t>
  </si>
  <si>
    <t>22K</t>
  </si>
  <si>
    <t>33k</t>
  </si>
  <si>
    <t>100K</t>
  </si>
  <si>
    <t>4.7K</t>
  </si>
  <si>
    <t>Quantity</t>
  </si>
  <si>
    <t>Value</t>
  </si>
  <si>
    <t>Remarks</t>
  </si>
  <si>
    <t xml:space="preserve"> Alternate Part Number</t>
  </si>
  <si>
    <t>-</t>
  </si>
  <si>
    <t>JTAG</t>
  </si>
  <si>
    <t>Bill of Materials for Project [BLE_product-v1.0.]</t>
  </si>
  <si>
    <t>BLE_product-v1.0</t>
  </si>
  <si>
    <t>FAN54120MP420X</t>
  </si>
  <si>
    <t>Peripherals</t>
  </si>
  <si>
    <t>dc2.0*0.5mm USB Charger Cable Small Pin Charging Cord</t>
  </si>
  <si>
    <t>Link</t>
  </si>
  <si>
    <t>Do Not Mount</t>
  </si>
  <si>
    <t>Aliexpress</t>
  </si>
  <si>
    <t>TC2030-IDC-NL</t>
  </si>
  <si>
    <t>“No Legs” 6-pin Plug-of-Nails™ Cable fitted with a 6-pin 0.1″ pitch ribbon connector.</t>
  </si>
  <si>
    <t>Tag Connect</t>
  </si>
  <si>
    <t>USB DC 2.0*0.5mm Charging Cable for Mini S530 Smallest Invisible Wireless Bluetooth Earbuds Earphones Headphones Headset</t>
  </si>
  <si>
    <t xml:space="preserve">“No Legs” 6-pin Plug-of-Nails™ Cable fitted with a 6-pin 0.1″ pitch ribbon connector.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</si>
</sst>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4" borderId="9" xfId="0" applyFont="1" applyFill="1" applyBorder="1" applyAlignment="1">
      <alignment horizontal="center" vertical="center" wrapText="1"/>
    </xf>
    <xf numFmtId="0" fontId="19" fillId="2" borderId="16" xfId="1" applyFill="1" applyBorder="1" applyAlignment="1">
      <alignment horizontal="center" vertical="center" wrapText="1"/>
    </xf>
    <xf numFmtId="0" fontId="19" fillId="2" borderId="15" xfId="1" applyFill="1" applyBorder="1" applyAlignment="1">
      <alignment horizontal="center" vertical="center" wrapText="1"/>
    </xf>
    <xf numFmtId="0" fontId="19" fillId="2" borderId="16" xfId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19" fillId="0" borderId="0" xfId="1" applyAlignment="1">
      <alignment horizontal="center" vertical="center"/>
    </xf>
    <xf numFmtId="0" fontId="19" fillId="0" borderId="0" xfId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19" fillId="0" borderId="18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g-connect.com/product/tc2030-idc-nl" TargetMode="External"/><Relationship Id="rId2" Type="http://schemas.openxmlformats.org/officeDocument/2006/relationships/hyperlink" Target="https://vi.aliexpress.com/item/33058603648.html" TargetMode="External"/><Relationship Id="rId1" Type="http://schemas.openxmlformats.org/officeDocument/2006/relationships/hyperlink" Target="https://vi.aliexpress.com/item/1005003337541329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3"/>
  <sheetViews>
    <sheetView tabSelected="1" topLeftCell="A28" workbookViewId="0">
      <selection activeCell="N10" sqref="N10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2" bestFit="1" customWidth="1"/>
    <col min="9" max="9" width="21.42578125" bestFit="1" customWidth="1"/>
    <col min="10" max="10" width="6.140625" bestFit="1" customWidth="1"/>
    <col min="11" max="11" width="11.7109375" bestFit="1" customWidth="1"/>
    <col min="12" max="12" width="8.710937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7"/>
      <c r="K1" s="57"/>
      <c r="L1" s="57"/>
      <c r="M1" s="57"/>
    </row>
    <row r="2" spans="1:13" ht="32.25" thickBot="1" x14ac:dyDescent="0.3">
      <c r="A2" s="1"/>
      <c r="B2" s="20"/>
      <c r="C2" s="43"/>
      <c r="D2" s="10" t="s">
        <v>0</v>
      </c>
      <c r="E2" s="10"/>
      <c r="F2" s="51" t="s">
        <v>155</v>
      </c>
      <c r="G2" s="11"/>
      <c r="H2" s="11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2" t="s">
        <v>156</v>
      </c>
      <c r="G3" s="12"/>
      <c r="H3" s="12"/>
      <c r="I3" s="4"/>
      <c r="J3" s="4"/>
      <c r="K3" s="4"/>
      <c r="L3" s="4"/>
      <c r="M3" s="58"/>
    </row>
    <row r="4" spans="1:13" x14ac:dyDescent="0.25">
      <c r="A4" s="1"/>
      <c r="B4" s="21"/>
      <c r="C4" s="44"/>
      <c r="D4" s="12" t="s">
        <v>2</v>
      </c>
      <c r="E4" s="12"/>
      <c r="F4" s="53" t="s">
        <v>156</v>
      </c>
      <c r="G4" s="13"/>
      <c r="H4" s="13"/>
      <c r="I4" s="6"/>
      <c r="J4" s="6"/>
      <c r="K4" s="6"/>
      <c r="L4" s="6"/>
      <c r="M4" s="59"/>
    </row>
    <row r="5" spans="1:13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14"/>
      <c r="I5" s="5"/>
      <c r="J5" s="5"/>
      <c r="K5" s="5"/>
      <c r="L5" s="5"/>
      <c r="M5" s="59"/>
    </row>
    <row r="6" spans="1:13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59"/>
    </row>
    <row r="7" spans="1:13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59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59"/>
    </row>
    <row r="9" spans="1:13" ht="15.75" thickBot="1" x14ac:dyDescent="0.3">
      <c r="A9" s="1"/>
      <c r="B9" s="29" t="s">
        <v>4</v>
      </c>
      <c r="C9" s="29" t="s">
        <v>6</v>
      </c>
      <c r="D9" s="29" t="s">
        <v>17</v>
      </c>
      <c r="E9" s="30" t="s">
        <v>47</v>
      </c>
      <c r="F9" s="29" t="s">
        <v>76</v>
      </c>
      <c r="G9" s="30" t="s">
        <v>98</v>
      </c>
      <c r="H9" s="29" t="s">
        <v>152</v>
      </c>
      <c r="I9" s="29" t="s">
        <v>121</v>
      </c>
      <c r="J9" s="29" t="s">
        <v>150</v>
      </c>
      <c r="K9" s="30" t="s">
        <v>160</v>
      </c>
      <c r="L9" s="29" t="s">
        <v>149</v>
      </c>
      <c r="M9" s="29" t="s">
        <v>151</v>
      </c>
    </row>
    <row r="10" spans="1:13" ht="15.75" thickBot="1" x14ac:dyDescent="0.3">
      <c r="A10" s="1"/>
      <c r="B10" s="50">
        <f>ROW(B10) - ROW($B$9)</f>
        <v>1</v>
      </c>
      <c r="C10" s="55" t="s">
        <v>7</v>
      </c>
      <c r="D10" s="36" t="s">
        <v>18</v>
      </c>
      <c r="E10" s="37" t="s">
        <v>48</v>
      </c>
      <c r="F10" s="36" t="s">
        <v>77</v>
      </c>
      <c r="G10" s="37" t="s">
        <v>99</v>
      </c>
      <c r="H10" s="36" t="s">
        <v>153</v>
      </c>
      <c r="I10" s="36" t="s">
        <v>122</v>
      </c>
      <c r="J10" s="36" t="s">
        <v>137</v>
      </c>
      <c r="K10" s="61"/>
      <c r="L10" s="36">
        <v>6</v>
      </c>
      <c r="M10" s="36"/>
    </row>
    <row r="11" spans="1:13" ht="15.75" thickBot="1" x14ac:dyDescent="0.3">
      <c r="A11" s="1"/>
      <c r="B11" s="50">
        <f t="shared" ref="B11:B37" si="0">ROW(B11) - ROW($B$9)</f>
        <v>2</v>
      </c>
      <c r="C11" s="55" t="s">
        <v>7</v>
      </c>
      <c r="D11" s="38" t="s">
        <v>19</v>
      </c>
      <c r="E11" s="39" t="s">
        <v>49</v>
      </c>
      <c r="F11" s="38" t="s">
        <v>78</v>
      </c>
      <c r="G11" s="39" t="s">
        <v>100</v>
      </c>
      <c r="H11" s="38" t="s">
        <v>153</v>
      </c>
      <c r="I11" s="38" t="s">
        <v>123</v>
      </c>
      <c r="J11" s="38" t="s">
        <v>138</v>
      </c>
      <c r="K11" s="62"/>
      <c r="L11" s="38">
        <v>1</v>
      </c>
      <c r="M11" s="38"/>
    </row>
    <row r="12" spans="1:13" ht="15.75" thickBot="1" x14ac:dyDescent="0.3">
      <c r="A12" s="1"/>
      <c r="B12" s="50">
        <f>ROW(B12) - ROW($B$9)</f>
        <v>3</v>
      </c>
      <c r="C12" s="56" t="s">
        <v>7</v>
      </c>
      <c r="D12" s="36" t="s">
        <v>20</v>
      </c>
      <c r="E12" s="37" t="s">
        <v>50</v>
      </c>
      <c r="F12" s="36" t="s">
        <v>79</v>
      </c>
      <c r="G12" s="37" t="s">
        <v>101</v>
      </c>
      <c r="H12" s="36" t="s">
        <v>153</v>
      </c>
      <c r="I12" s="36" t="s">
        <v>122</v>
      </c>
      <c r="J12" s="36" t="s">
        <v>139</v>
      </c>
      <c r="K12" s="61"/>
      <c r="L12" s="36">
        <v>1</v>
      </c>
      <c r="M12" s="36"/>
    </row>
    <row r="13" spans="1:13" ht="15.75" thickBot="1" x14ac:dyDescent="0.3">
      <c r="A13" s="1"/>
      <c r="B13" s="50">
        <f t="shared" si="0"/>
        <v>4</v>
      </c>
      <c r="C13" s="55" t="s">
        <v>7</v>
      </c>
      <c r="D13" s="38" t="s">
        <v>21</v>
      </c>
      <c r="E13" s="39" t="s">
        <v>51</v>
      </c>
      <c r="F13" s="38" t="s">
        <v>77</v>
      </c>
      <c r="G13" s="39" t="s">
        <v>102</v>
      </c>
      <c r="H13" s="38" t="s">
        <v>153</v>
      </c>
      <c r="I13" s="38" t="s">
        <v>122</v>
      </c>
      <c r="J13" s="38" t="s">
        <v>140</v>
      </c>
      <c r="K13" s="62"/>
      <c r="L13" s="38">
        <v>1</v>
      </c>
      <c r="M13" s="38"/>
    </row>
    <row r="14" spans="1:13" ht="15.75" thickBot="1" x14ac:dyDescent="0.3">
      <c r="A14" s="1"/>
      <c r="B14" s="50">
        <f>ROW(B14) - ROW($B$9)</f>
        <v>5</v>
      </c>
      <c r="C14" s="56" t="s">
        <v>7</v>
      </c>
      <c r="D14" s="36" t="s">
        <v>22</v>
      </c>
      <c r="E14" s="37" t="s">
        <v>52</v>
      </c>
      <c r="F14" s="36" t="s">
        <v>77</v>
      </c>
      <c r="G14" s="37" t="s">
        <v>103</v>
      </c>
      <c r="H14" s="36" t="s">
        <v>153</v>
      </c>
      <c r="I14" s="36" t="s">
        <v>122</v>
      </c>
      <c r="J14" s="36" t="s">
        <v>141</v>
      </c>
      <c r="K14" s="63"/>
      <c r="L14" s="36">
        <v>1</v>
      </c>
      <c r="M14" s="36"/>
    </row>
    <row r="15" spans="1:13" ht="15.75" thickBot="1" x14ac:dyDescent="0.3">
      <c r="A15" s="1"/>
      <c r="B15" s="50">
        <f t="shared" si="0"/>
        <v>6</v>
      </c>
      <c r="C15" s="55" t="s">
        <v>7</v>
      </c>
      <c r="D15" s="38" t="s">
        <v>23</v>
      </c>
      <c r="E15" s="39" t="s">
        <v>53</v>
      </c>
      <c r="F15" s="38" t="s">
        <v>80</v>
      </c>
      <c r="G15" s="39" t="s">
        <v>80</v>
      </c>
      <c r="H15" s="38" t="s">
        <v>153</v>
      </c>
      <c r="I15" s="38" t="s">
        <v>124</v>
      </c>
      <c r="J15" s="38" t="s">
        <v>142</v>
      </c>
      <c r="K15" s="62"/>
      <c r="L15" s="38">
        <v>1</v>
      </c>
      <c r="M15" s="38"/>
    </row>
    <row r="16" spans="1:13" ht="15.75" thickBot="1" x14ac:dyDescent="0.3">
      <c r="A16" s="1"/>
      <c r="B16" s="50">
        <f>ROW(B16) - ROW($B$9)</f>
        <v>7</v>
      </c>
      <c r="C16" s="56" t="s">
        <v>7</v>
      </c>
      <c r="D16" s="36" t="s">
        <v>24</v>
      </c>
      <c r="E16" s="37" t="s">
        <v>54</v>
      </c>
      <c r="F16" s="36" t="s">
        <v>77</v>
      </c>
      <c r="G16" s="37" t="s">
        <v>104</v>
      </c>
      <c r="H16" s="36" t="s">
        <v>153</v>
      </c>
      <c r="I16" s="36" t="s">
        <v>122</v>
      </c>
      <c r="J16" s="36" t="s">
        <v>140</v>
      </c>
      <c r="K16" s="63"/>
      <c r="L16" s="36">
        <v>1</v>
      </c>
      <c r="M16" s="36"/>
    </row>
    <row r="17" spans="1:13" ht="15.75" thickBot="1" x14ac:dyDescent="0.3">
      <c r="A17" s="1"/>
      <c r="B17" s="50">
        <f t="shared" si="0"/>
        <v>8</v>
      </c>
      <c r="C17" s="55" t="s">
        <v>8</v>
      </c>
      <c r="D17" s="38" t="s">
        <v>25</v>
      </c>
      <c r="E17" s="39" t="s">
        <v>55</v>
      </c>
      <c r="F17" s="38" t="s">
        <v>81</v>
      </c>
      <c r="G17" s="39" t="s">
        <v>81</v>
      </c>
      <c r="H17" s="38" t="s">
        <v>153</v>
      </c>
      <c r="I17" s="38" t="s">
        <v>153</v>
      </c>
      <c r="J17" s="38" t="s">
        <v>153</v>
      </c>
      <c r="K17" s="36"/>
      <c r="L17" s="38">
        <v>4</v>
      </c>
      <c r="M17" s="64" t="s">
        <v>161</v>
      </c>
    </row>
    <row r="18" spans="1:13" ht="24.75" thickBot="1" x14ac:dyDescent="0.3">
      <c r="A18" s="1"/>
      <c r="B18" s="50">
        <f>ROW(B18) - ROW($B$9)</f>
        <v>9</v>
      </c>
      <c r="C18" s="56" t="s">
        <v>9</v>
      </c>
      <c r="D18" s="36" t="s">
        <v>26</v>
      </c>
      <c r="E18" s="37" t="s">
        <v>56</v>
      </c>
      <c r="F18" s="36" t="s">
        <v>82</v>
      </c>
      <c r="G18" s="37" t="s">
        <v>82</v>
      </c>
      <c r="H18" s="36" t="s">
        <v>153</v>
      </c>
      <c r="I18" s="36" t="s">
        <v>125</v>
      </c>
      <c r="J18" s="36" t="s">
        <v>153</v>
      </c>
      <c r="K18" s="61"/>
      <c r="L18" s="36">
        <v>1</v>
      </c>
      <c r="M18" s="36"/>
    </row>
    <row r="19" spans="1:13" ht="15.75" thickBot="1" x14ac:dyDescent="0.3">
      <c r="A19" s="1"/>
      <c r="B19" s="50">
        <f t="shared" si="0"/>
        <v>10</v>
      </c>
      <c r="C19" s="55" t="s">
        <v>10</v>
      </c>
      <c r="D19" s="38" t="s">
        <v>27</v>
      </c>
      <c r="E19" s="39" t="s">
        <v>57</v>
      </c>
      <c r="F19" s="38" t="s">
        <v>83</v>
      </c>
      <c r="G19" s="39" t="s">
        <v>105</v>
      </c>
      <c r="H19" s="38" t="s">
        <v>153</v>
      </c>
      <c r="I19" s="38" t="s">
        <v>153</v>
      </c>
      <c r="J19" s="38" t="s">
        <v>153</v>
      </c>
      <c r="K19" s="36"/>
      <c r="L19" s="38">
        <v>1</v>
      </c>
      <c r="M19" s="64" t="s">
        <v>161</v>
      </c>
    </row>
    <row r="20" spans="1:13" ht="36.75" thickBot="1" x14ac:dyDescent="0.3">
      <c r="A20" s="1"/>
      <c r="B20" s="50">
        <f>ROW(B20) - ROW($B$9)</f>
        <v>11</v>
      </c>
      <c r="C20" s="56" t="s">
        <v>154</v>
      </c>
      <c r="D20" s="36" t="s">
        <v>28</v>
      </c>
      <c r="E20" s="37" t="s">
        <v>164</v>
      </c>
      <c r="F20" s="36" t="s">
        <v>153</v>
      </c>
      <c r="G20" s="36" t="s">
        <v>163</v>
      </c>
      <c r="H20" s="36" t="s">
        <v>153</v>
      </c>
      <c r="I20" s="36" t="s">
        <v>153</v>
      </c>
      <c r="J20" s="36" t="s">
        <v>153</v>
      </c>
      <c r="K20" s="61"/>
      <c r="L20" s="36">
        <v>1</v>
      </c>
      <c r="M20" s="64" t="s">
        <v>161</v>
      </c>
    </row>
    <row r="21" spans="1:13" ht="15.75" thickBot="1" x14ac:dyDescent="0.3">
      <c r="A21" s="1"/>
      <c r="B21" s="50">
        <f t="shared" si="0"/>
        <v>12</v>
      </c>
      <c r="C21" s="55" t="s">
        <v>11</v>
      </c>
      <c r="D21" s="38" t="s">
        <v>29</v>
      </c>
      <c r="E21" s="39" t="s">
        <v>58</v>
      </c>
      <c r="F21" s="38" t="s">
        <v>84</v>
      </c>
      <c r="G21" s="39" t="s">
        <v>106</v>
      </c>
      <c r="H21" s="38" t="s">
        <v>153</v>
      </c>
      <c r="I21" s="38" t="s">
        <v>126</v>
      </c>
      <c r="J21" s="38" t="s">
        <v>143</v>
      </c>
      <c r="K21" s="61"/>
      <c r="L21" s="38">
        <v>1</v>
      </c>
      <c r="M21" s="38"/>
    </row>
    <row r="22" spans="1:13" ht="36.75" thickBot="1" x14ac:dyDescent="0.3">
      <c r="A22" s="1"/>
      <c r="B22" s="50">
        <f>ROW(B22) - ROW($B$9)</f>
        <v>13</v>
      </c>
      <c r="C22" s="56" t="s">
        <v>12</v>
      </c>
      <c r="D22" s="36" t="s">
        <v>30</v>
      </c>
      <c r="E22" s="37" t="s">
        <v>59</v>
      </c>
      <c r="F22" s="36" t="s">
        <v>153</v>
      </c>
      <c r="G22" s="37" t="s">
        <v>85</v>
      </c>
      <c r="H22" s="36" t="s">
        <v>153</v>
      </c>
      <c r="I22" s="36" t="s">
        <v>127</v>
      </c>
      <c r="J22" s="36" t="s">
        <v>153</v>
      </c>
      <c r="K22" s="36"/>
      <c r="L22" s="36">
        <v>1</v>
      </c>
      <c r="M22" s="36"/>
    </row>
    <row r="23" spans="1:13" ht="48.75" thickBot="1" x14ac:dyDescent="0.3">
      <c r="A23" s="1"/>
      <c r="B23" s="50">
        <f t="shared" si="0"/>
        <v>14</v>
      </c>
      <c r="C23" s="55" t="s">
        <v>13</v>
      </c>
      <c r="D23" s="38" t="s">
        <v>31</v>
      </c>
      <c r="E23" s="39" t="s">
        <v>60</v>
      </c>
      <c r="F23" s="38" t="s">
        <v>86</v>
      </c>
      <c r="G23" s="39" t="s">
        <v>107</v>
      </c>
      <c r="H23" s="38" t="s">
        <v>153</v>
      </c>
      <c r="I23" s="38" t="s">
        <v>128</v>
      </c>
      <c r="J23" s="38" t="s">
        <v>153</v>
      </c>
      <c r="K23" s="38"/>
      <c r="L23" s="38">
        <v>1</v>
      </c>
      <c r="M23" s="38"/>
    </row>
    <row r="24" spans="1:13" ht="15.75" thickBot="1" x14ac:dyDescent="0.3">
      <c r="A24" s="1"/>
      <c r="B24" s="50">
        <f>ROW(B24) - ROW($B$9)</f>
        <v>15</v>
      </c>
      <c r="C24" s="56" t="s">
        <v>14</v>
      </c>
      <c r="D24" s="36" t="s">
        <v>32</v>
      </c>
      <c r="E24" s="37" t="s">
        <v>61</v>
      </c>
      <c r="F24" s="36" t="s">
        <v>87</v>
      </c>
      <c r="G24" s="37" t="s">
        <v>108</v>
      </c>
      <c r="H24" s="36" t="s">
        <v>153</v>
      </c>
      <c r="I24" s="36" t="s">
        <v>122</v>
      </c>
      <c r="J24" s="36" t="s">
        <v>144</v>
      </c>
      <c r="K24" s="62"/>
      <c r="L24" s="36">
        <v>5</v>
      </c>
      <c r="M24" s="36"/>
    </row>
    <row r="25" spans="1:13" ht="36.75" thickBot="1" x14ac:dyDescent="0.3">
      <c r="A25" s="1"/>
      <c r="B25" s="50">
        <f t="shared" si="0"/>
        <v>16</v>
      </c>
      <c r="C25" s="55" t="s">
        <v>14</v>
      </c>
      <c r="D25" s="38" t="s">
        <v>33</v>
      </c>
      <c r="E25" s="39" t="s">
        <v>62</v>
      </c>
      <c r="F25" s="38" t="s">
        <v>87</v>
      </c>
      <c r="G25" s="39" t="s">
        <v>109</v>
      </c>
      <c r="H25" s="38" t="s">
        <v>153</v>
      </c>
      <c r="I25" s="38" t="s">
        <v>129</v>
      </c>
      <c r="J25" s="38" t="s">
        <v>145</v>
      </c>
      <c r="K25" s="38"/>
      <c r="L25" s="38">
        <v>1</v>
      </c>
      <c r="M25" s="38"/>
    </row>
    <row r="26" spans="1:13" ht="36.75" thickBot="1" x14ac:dyDescent="0.3">
      <c r="A26" s="1"/>
      <c r="B26" s="50">
        <f>ROW(B26) - ROW($B$9)</f>
        <v>17</v>
      </c>
      <c r="C26" s="56" t="s">
        <v>14</v>
      </c>
      <c r="D26" s="36" t="s">
        <v>34</v>
      </c>
      <c r="E26" s="37" t="s">
        <v>63</v>
      </c>
      <c r="F26" s="36" t="s">
        <v>87</v>
      </c>
      <c r="G26" s="37" t="s">
        <v>110</v>
      </c>
      <c r="H26" s="36" t="s">
        <v>153</v>
      </c>
      <c r="I26" s="36" t="s">
        <v>129</v>
      </c>
      <c r="J26" s="36" t="s">
        <v>146</v>
      </c>
      <c r="K26" s="36"/>
      <c r="L26" s="36">
        <v>1</v>
      </c>
      <c r="M26" s="36"/>
    </row>
    <row r="27" spans="1:13" ht="36.75" thickBot="1" x14ac:dyDescent="0.3">
      <c r="A27" s="1"/>
      <c r="B27" s="50">
        <f t="shared" si="0"/>
        <v>18</v>
      </c>
      <c r="C27" s="55" t="s">
        <v>14</v>
      </c>
      <c r="D27" s="38" t="s">
        <v>35</v>
      </c>
      <c r="E27" s="39" t="s">
        <v>64</v>
      </c>
      <c r="F27" s="38" t="s">
        <v>87</v>
      </c>
      <c r="G27" s="39" t="s">
        <v>111</v>
      </c>
      <c r="H27" s="38" t="s">
        <v>153</v>
      </c>
      <c r="I27" s="38" t="s">
        <v>129</v>
      </c>
      <c r="J27" s="38" t="s">
        <v>147</v>
      </c>
      <c r="K27" s="38"/>
      <c r="L27" s="38">
        <v>2</v>
      </c>
      <c r="M27" s="38"/>
    </row>
    <row r="28" spans="1:13" ht="15.75" thickBot="1" x14ac:dyDescent="0.3">
      <c r="A28" s="1"/>
      <c r="B28" s="50">
        <f>ROW(B28) - ROW($B$9)</f>
        <v>19</v>
      </c>
      <c r="C28" s="56" t="s">
        <v>14</v>
      </c>
      <c r="D28" s="36" t="s">
        <v>36</v>
      </c>
      <c r="E28" s="37" t="s">
        <v>65</v>
      </c>
      <c r="F28" s="36" t="s">
        <v>87</v>
      </c>
      <c r="G28" s="37" t="s">
        <v>112</v>
      </c>
      <c r="H28" s="36" t="s">
        <v>153</v>
      </c>
      <c r="I28" s="36" t="s">
        <v>122</v>
      </c>
      <c r="J28" s="36" t="s">
        <v>148</v>
      </c>
      <c r="K28" s="62"/>
      <c r="L28" s="36">
        <v>4</v>
      </c>
      <c r="M28" s="36"/>
    </row>
    <row r="29" spans="1:13" ht="15.75" thickBot="1" x14ac:dyDescent="0.3">
      <c r="A29" s="1"/>
      <c r="B29" s="50">
        <f t="shared" si="0"/>
        <v>20</v>
      </c>
      <c r="C29" s="55" t="s">
        <v>15</v>
      </c>
      <c r="D29" s="38" t="s">
        <v>37</v>
      </c>
      <c r="E29" s="39" t="s">
        <v>66</v>
      </c>
      <c r="F29" s="38" t="s">
        <v>88</v>
      </c>
      <c r="G29" s="39" t="s">
        <v>113</v>
      </c>
      <c r="H29" s="38" t="s">
        <v>153</v>
      </c>
      <c r="I29" s="38" t="s">
        <v>130</v>
      </c>
      <c r="J29" s="38" t="s">
        <v>153</v>
      </c>
      <c r="K29" s="61"/>
      <c r="L29" s="38">
        <v>1</v>
      </c>
      <c r="M29" s="38"/>
    </row>
    <row r="30" spans="1:13" ht="24.75" thickBot="1" x14ac:dyDescent="0.3">
      <c r="A30" s="1"/>
      <c r="B30" s="50">
        <f>ROW(B30) - ROW($B$9)</f>
        <v>21</v>
      </c>
      <c r="C30" s="56" t="s">
        <v>16</v>
      </c>
      <c r="D30" s="36" t="s">
        <v>38</v>
      </c>
      <c r="E30" s="37" t="s">
        <v>67</v>
      </c>
      <c r="F30" s="36" t="s">
        <v>89</v>
      </c>
      <c r="G30" s="37" t="s">
        <v>114</v>
      </c>
      <c r="H30" s="36" t="s">
        <v>153</v>
      </c>
      <c r="I30" s="36" t="s">
        <v>131</v>
      </c>
      <c r="J30" s="36" t="s">
        <v>153</v>
      </c>
      <c r="K30" s="62"/>
      <c r="L30" s="36">
        <v>1</v>
      </c>
      <c r="M30" s="36"/>
    </row>
    <row r="31" spans="1:13" ht="15.75" thickBot="1" x14ac:dyDescent="0.3">
      <c r="A31" s="1"/>
      <c r="B31" s="50">
        <f t="shared" si="0"/>
        <v>22</v>
      </c>
      <c r="C31" s="55" t="s">
        <v>16</v>
      </c>
      <c r="D31" s="38" t="s">
        <v>39</v>
      </c>
      <c r="E31" s="39" t="s">
        <v>68</v>
      </c>
      <c r="F31" s="38" t="s">
        <v>90</v>
      </c>
      <c r="G31" s="39" t="s">
        <v>115</v>
      </c>
      <c r="H31" s="38" t="s">
        <v>153</v>
      </c>
      <c r="I31" s="38" t="s">
        <v>132</v>
      </c>
      <c r="J31" s="38" t="s">
        <v>153</v>
      </c>
      <c r="K31" s="65"/>
      <c r="L31" s="38">
        <v>1</v>
      </c>
      <c r="M31" s="38"/>
    </row>
    <row r="32" spans="1:13" ht="15.75" thickBot="1" x14ac:dyDescent="0.3">
      <c r="A32" s="1"/>
      <c r="B32" s="50">
        <f>ROW(B32) - ROW($B$9)</f>
        <v>23</v>
      </c>
      <c r="C32" s="56" t="s">
        <v>16</v>
      </c>
      <c r="D32" s="36" t="s">
        <v>40</v>
      </c>
      <c r="E32" s="37" t="s">
        <v>69</v>
      </c>
      <c r="F32" s="36" t="s">
        <v>91</v>
      </c>
      <c r="G32" s="37" t="s">
        <v>116</v>
      </c>
      <c r="H32" s="36" t="s">
        <v>153</v>
      </c>
      <c r="I32" s="36" t="s">
        <v>133</v>
      </c>
      <c r="J32" s="36" t="s">
        <v>153</v>
      </c>
      <c r="K32" s="65"/>
      <c r="L32" s="36">
        <v>1</v>
      </c>
      <c r="M32" s="36"/>
    </row>
    <row r="33" spans="1:13" ht="15.75" thickBot="1" x14ac:dyDescent="0.3">
      <c r="A33" s="1"/>
      <c r="B33" s="50">
        <f t="shared" si="0"/>
        <v>24</v>
      </c>
      <c r="C33" s="55" t="s">
        <v>16</v>
      </c>
      <c r="D33" s="38" t="s">
        <v>41</v>
      </c>
      <c r="E33" s="39" t="s">
        <v>70</v>
      </c>
      <c r="F33" s="38" t="s">
        <v>92</v>
      </c>
      <c r="G33" s="39" t="s">
        <v>157</v>
      </c>
      <c r="H33" s="38" t="s">
        <v>153</v>
      </c>
      <c r="I33" s="38" t="s">
        <v>134</v>
      </c>
      <c r="J33" s="38" t="s">
        <v>153</v>
      </c>
      <c r="K33" s="65"/>
      <c r="L33" s="38">
        <v>1</v>
      </c>
      <c r="M33" s="38"/>
    </row>
    <row r="34" spans="1:13" ht="15.75" thickBot="1" x14ac:dyDescent="0.3">
      <c r="A34" s="1"/>
      <c r="B34" s="50">
        <f>ROW(B34) - ROW($B$9)</f>
        <v>25</v>
      </c>
      <c r="C34" s="56" t="s">
        <v>16</v>
      </c>
      <c r="D34" s="36" t="s">
        <v>42</v>
      </c>
      <c r="E34" s="37" t="s">
        <v>71</v>
      </c>
      <c r="F34" s="36" t="s">
        <v>93</v>
      </c>
      <c r="G34" s="37" t="s">
        <v>117</v>
      </c>
      <c r="H34" s="36" t="s">
        <v>153</v>
      </c>
      <c r="I34" s="36" t="s">
        <v>133</v>
      </c>
      <c r="J34" s="36" t="s">
        <v>153</v>
      </c>
      <c r="K34" s="65"/>
      <c r="L34" s="36">
        <v>1</v>
      </c>
      <c r="M34" s="36"/>
    </row>
    <row r="35" spans="1:13" ht="15.75" thickBot="1" x14ac:dyDescent="0.3">
      <c r="A35" s="1"/>
      <c r="B35" s="50">
        <f t="shared" si="0"/>
        <v>26</v>
      </c>
      <c r="C35" s="55" t="s">
        <v>16</v>
      </c>
      <c r="D35" s="38" t="s">
        <v>43</v>
      </c>
      <c r="E35" s="39" t="s">
        <v>72</v>
      </c>
      <c r="F35" s="38" t="s">
        <v>94</v>
      </c>
      <c r="G35" s="39" t="s">
        <v>94</v>
      </c>
      <c r="H35" s="38" t="s">
        <v>153</v>
      </c>
      <c r="I35" s="38" t="s">
        <v>135</v>
      </c>
      <c r="J35" s="38" t="s">
        <v>153</v>
      </c>
      <c r="K35" s="65"/>
      <c r="L35" s="38">
        <v>1</v>
      </c>
      <c r="M35" s="38"/>
    </row>
    <row r="36" spans="1:13" ht="15.75" thickBot="1" x14ac:dyDescent="0.3">
      <c r="A36" s="1"/>
      <c r="B36" s="50">
        <f>ROW(B36) - ROW($B$9)</f>
        <v>27</v>
      </c>
      <c r="C36" s="56" t="s">
        <v>16</v>
      </c>
      <c r="D36" s="36" t="s">
        <v>44</v>
      </c>
      <c r="E36" s="37" t="s">
        <v>73</v>
      </c>
      <c r="F36" s="36" t="s">
        <v>95</v>
      </c>
      <c r="G36" s="37" t="s">
        <v>118</v>
      </c>
      <c r="H36" s="36" t="s">
        <v>153</v>
      </c>
      <c r="I36" s="36" t="s">
        <v>134</v>
      </c>
      <c r="J36" s="36" t="s">
        <v>153</v>
      </c>
      <c r="K36" s="65"/>
      <c r="L36" s="36">
        <v>1</v>
      </c>
      <c r="M36" s="36"/>
    </row>
    <row r="37" spans="1:13" ht="15.75" thickBot="1" x14ac:dyDescent="0.3">
      <c r="A37" s="1"/>
      <c r="B37" s="50">
        <f t="shared" si="0"/>
        <v>28</v>
      </c>
      <c r="C37" s="55" t="s">
        <v>16</v>
      </c>
      <c r="D37" s="38" t="s">
        <v>45</v>
      </c>
      <c r="E37" s="39" t="s">
        <v>74</v>
      </c>
      <c r="F37" s="38" t="s">
        <v>96</v>
      </c>
      <c r="G37" s="39" t="s">
        <v>119</v>
      </c>
      <c r="H37" s="38" t="s">
        <v>153</v>
      </c>
      <c r="I37" s="38" t="s">
        <v>136</v>
      </c>
      <c r="J37" s="38" t="s">
        <v>153</v>
      </c>
      <c r="K37" s="65"/>
      <c r="L37" s="38">
        <v>1</v>
      </c>
      <c r="M37" s="38"/>
    </row>
    <row r="38" spans="1:13" ht="15.75" thickBot="1" x14ac:dyDescent="0.3">
      <c r="A38" s="1"/>
      <c r="B38" s="50">
        <f>ROW(B38) - ROW($B$9)</f>
        <v>29</v>
      </c>
      <c r="C38" s="56" t="s">
        <v>16</v>
      </c>
      <c r="D38" s="36" t="s">
        <v>46</v>
      </c>
      <c r="E38" s="37" t="s">
        <v>75</v>
      </c>
      <c r="F38" s="36" t="s">
        <v>97</v>
      </c>
      <c r="G38" s="37" t="s">
        <v>120</v>
      </c>
      <c r="H38" s="36" t="s">
        <v>153</v>
      </c>
      <c r="I38" s="36" t="s">
        <v>136</v>
      </c>
      <c r="J38" s="36" t="s">
        <v>153</v>
      </c>
      <c r="K38" s="65"/>
      <c r="L38" s="36">
        <v>1</v>
      </c>
      <c r="M38" s="36"/>
    </row>
    <row r="39" spans="1:13" ht="24.75" thickBot="1" x14ac:dyDescent="0.3">
      <c r="A39" s="1"/>
      <c r="B39" s="60">
        <v>30</v>
      </c>
      <c r="C39" s="56" t="s">
        <v>158</v>
      </c>
      <c r="D39" s="36" t="s">
        <v>153</v>
      </c>
      <c r="E39" s="37" t="s">
        <v>159</v>
      </c>
      <c r="F39" s="36" t="s">
        <v>153</v>
      </c>
      <c r="G39" s="37" t="s">
        <v>153</v>
      </c>
      <c r="H39" s="36"/>
      <c r="I39" s="36" t="s">
        <v>153</v>
      </c>
      <c r="J39" s="36" t="s">
        <v>153</v>
      </c>
      <c r="K39" s="66" t="s">
        <v>162</v>
      </c>
      <c r="L39" s="36">
        <v>1</v>
      </c>
      <c r="M39" s="36"/>
    </row>
    <row r="40" spans="1:13" ht="48.75" thickBot="1" x14ac:dyDescent="0.3">
      <c r="A40" s="1"/>
      <c r="B40" s="60">
        <v>31</v>
      </c>
      <c r="C40" s="56" t="s">
        <v>158</v>
      </c>
      <c r="D40" s="36" t="s">
        <v>153</v>
      </c>
      <c r="E40" s="37" t="s">
        <v>166</v>
      </c>
      <c r="F40" s="36" t="s">
        <v>153</v>
      </c>
      <c r="G40" s="37" t="s">
        <v>153</v>
      </c>
      <c r="H40" s="36"/>
      <c r="I40" s="36" t="s">
        <v>153</v>
      </c>
      <c r="J40" s="67" t="s">
        <v>153</v>
      </c>
      <c r="K40" s="70" t="s">
        <v>162</v>
      </c>
      <c r="L40" s="68">
        <v>1</v>
      </c>
      <c r="M40" s="36"/>
    </row>
    <row r="41" spans="1:13" ht="48.75" thickBot="1" x14ac:dyDescent="0.3">
      <c r="A41" s="1"/>
      <c r="B41" s="60">
        <v>32</v>
      </c>
      <c r="C41" s="56" t="s">
        <v>158</v>
      </c>
      <c r="D41" s="36"/>
      <c r="E41" s="37" t="s">
        <v>167</v>
      </c>
      <c r="F41" s="36"/>
      <c r="G41" s="37" t="s">
        <v>163</v>
      </c>
      <c r="H41" s="36"/>
      <c r="I41" s="36"/>
      <c r="J41" s="67"/>
      <c r="K41" s="70" t="s">
        <v>165</v>
      </c>
      <c r="L41" s="68">
        <v>1</v>
      </c>
      <c r="M41" s="36"/>
    </row>
    <row r="42" spans="1:13" x14ac:dyDescent="0.25">
      <c r="A42" s="1"/>
      <c r="B42" s="31"/>
      <c r="C42" s="48"/>
      <c r="D42" s="32"/>
      <c r="E42" s="33"/>
      <c r="F42" s="34"/>
      <c r="G42" s="35"/>
      <c r="H42" s="35"/>
      <c r="I42" s="34"/>
      <c r="J42" s="35"/>
      <c r="K42" s="69"/>
      <c r="L42" s="35"/>
      <c r="M42" s="41"/>
    </row>
    <row r="43" spans="1:13" ht="15.75" thickBot="1" x14ac:dyDescent="0.3">
      <c r="A43" s="1"/>
      <c r="B43" s="24"/>
      <c r="C43" s="49"/>
      <c r="D43" s="8"/>
      <c r="E43" s="9"/>
      <c r="F43" s="9"/>
      <c r="G43" s="9"/>
      <c r="H43" s="9"/>
      <c r="I43" s="9"/>
      <c r="J43" s="9"/>
      <c r="K43" s="9"/>
      <c r="L43" s="9"/>
      <c r="M43" s="42"/>
    </row>
  </sheetData>
  <mergeCells count="2">
    <mergeCell ref="J1:M1"/>
    <mergeCell ref="M3:M8"/>
  </mergeCells>
  <hyperlinks>
    <hyperlink ref="K39" r:id="rId1"/>
    <hyperlink ref="K40" r:id="rId2"/>
    <hyperlink ref="K41" r:id="rId3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2023-08-28T10:03:07Z</dcterms:modified>
</cp:coreProperties>
</file>