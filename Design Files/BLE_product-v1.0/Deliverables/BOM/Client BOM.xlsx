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E:\eSpark-Consultants\raafat-BLEproduct\Design Files\BLE_product-v1.0\Deliverables\BOM\"/>
    </mc:Choice>
  </mc:AlternateContent>
  <xr:revisionPtr revIDLastSave="0" documentId="13_ncr:1_{3202CC14-5577-4070-8CA0-241BAFC8B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<sst xmlns="http://schemas.openxmlformats.org/spreadsheetml/2006/main" count="209" uniqueCount="156">
  <si>
    <t>#</t>
  </si>
  <si>
    <t>Item Type</t>
  </si>
  <si>
    <t>Capacitor</t>
  </si>
  <si>
    <t>SMD Pad</t>
  </si>
  <si>
    <t>DC Jack Female</t>
  </si>
  <si>
    <t>SMD Pads</t>
  </si>
  <si>
    <t>Inductor</t>
  </si>
  <si>
    <t>RGB LED</t>
  </si>
  <si>
    <t>Mosfet</t>
  </si>
  <si>
    <t>Resistor</t>
  </si>
  <si>
    <t>Tactile Switch</t>
  </si>
  <si>
    <t>IC</t>
  </si>
  <si>
    <t>Designator</t>
  </si>
  <si>
    <t>C1, C7, C9, C10, C11, C12</t>
  </si>
  <si>
    <t>C2</t>
  </si>
  <si>
    <t>C3</t>
  </si>
  <si>
    <t>C4</t>
  </si>
  <si>
    <t>C5</t>
  </si>
  <si>
    <t>C6</t>
  </si>
  <si>
    <t>C8</t>
  </si>
  <si>
    <t>J1, J2, J5, J6</t>
  </si>
  <si>
    <t>J3</t>
  </si>
  <si>
    <t>J4</t>
  </si>
  <si>
    <t>J7</t>
  </si>
  <si>
    <t>L1</t>
  </si>
  <si>
    <t>LED1</t>
  </si>
  <si>
    <t>Q1</t>
  </si>
  <si>
    <t>R1, R3, R5, R12, R13</t>
  </si>
  <si>
    <t>R2</t>
  </si>
  <si>
    <t>R4</t>
  </si>
  <si>
    <t>R6, R9</t>
  </si>
  <si>
    <t>R7, R8, R10, R11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</si>
  <si>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</si>
  <si>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</si>
  <si>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</si>
  <si>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</si>
  <si>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</si>
  <si>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</si>
  <si>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</si>
  <si>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</si>
  <si>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</si>
  <si>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</si>
  <si>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</si>
  <si>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0.1UF 10V X5R 0201</t>
  </si>
  <si>
    <t>CAP CER 10UF 10V X5R 0402</t>
  </si>
  <si>
    <t>CAP CER 22UF 10V X5R 0603</t>
  </si>
  <si>
    <t>CAP CER 1UF 10V X5R 0201</t>
  </si>
  <si>
    <t>CAP CER 2.2UF 10V X5R 0201</t>
  </si>
  <si>
    <t>CAP TANT 100UF 20% 6.3V 0603</t>
  </si>
  <si>
    <t>CAP CER 1UF 16V X5R 0201</t>
  </si>
  <si>
    <t>Wire Connecting Pad 0.5mm</t>
  </si>
  <si>
    <t>DC Power Jack Socket Female Panel Mount Connector</t>
  </si>
  <si>
    <t>Wire Connecting Pad</t>
  </si>
  <si>
    <t>FIXED IND 470NH 3.4A 52 MOHM SMD</t>
  </si>
  <si>
    <t>Colorless transparence -40℃~+150℃ 正贴 RGB 120° 1010 Light Emitting Diodes (LED) ROHS</t>
  </si>
  <si>
    <t>40V 100mW 100@10mA,1V 200mA 300MHz 300mV@50mA,5mA NPN -55℃~+150℃@(Tj) SOT-723 Bipolar Transistors - BJT ROHS</t>
  </si>
  <si>
    <t>RES SMD 10K OHM 5% 1/20W 0201</t>
  </si>
  <si>
    <t>50mW Thick Film Resistors ±1% ±200ppm/℃ 22kΩ 0201 Chip Resistor - Surface Mount ROHS</t>
  </si>
  <si>
    <t>50mW Thick Film Resistors ±1% ±200ppm/℃ 33kΩ 0201 Chip Resistor - Surface Mount ROHS</t>
  </si>
  <si>
    <t>50mW Thick Film Resistors ±0.5% 100kΩ 0201 Chip Resistor - Surface Mount ROHS</t>
  </si>
  <si>
    <t>RES 4.7K OHM 1% 1/20W 0201</t>
  </si>
  <si>
    <t>SWITCH TACTILE SPST-NO 0.05A 12V</t>
  </si>
  <si>
    <t>IC REG BOOST 5V 1A 9WLCSP</t>
  </si>
  <si>
    <t>IC SUPERVISOR 1 CHANNEL 6WLP</t>
  </si>
  <si>
    <t>IC REG LINEAR 3V 300MA 4X2SON</t>
  </si>
  <si>
    <t>500MA USB COMPATIBLE SINGLE CELL</t>
  </si>
  <si>
    <t>MOSFET P-CH 20V 3.6A 3LGA</t>
  </si>
  <si>
    <t>RF TXRX MODULE BT TRACE ANT SMD</t>
  </si>
  <si>
    <t>MOSFET N-CH 20V 224MA 3XLLGA</t>
  </si>
  <si>
    <t>IMU ACCEL/GYRO I2C/SPI 14LGA</t>
  </si>
  <si>
    <t>SENSOR FLIPCORE/HALL SPI 12WLCSP</t>
  </si>
  <si>
    <t>Footprint</t>
  </si>
  <si>
    <t>CAP-0201</t>
  </si>
  <si>
    <t>Cap-0402</t>
  </si>
  <si>
    <t>Cap-0603</t>
  </si>
  <si>
    <t>F980J107MMAAXE</t>
  </si>
  <si>
    <t>1 Sensor Pad 0.5mm</t>
  </si>
  <si>
    <t>DC-096</t>
  </si>
  <si>
    <t>Sensor-Pads 0.5mm Dia</t>
  </si>
  <si>
    <t>TC2030-IDC-NL_</t>
  </si>
  <si>
    <t>IND-0806</t>
  </si>
  <si>
    <t>XL-1010RGBC-WS2812B</t>
  </si>
  <si>
    <t>SOT-723</t>
  </si>
  <si>
    <t>Res-0201</t>
  </si>
  <si>
    <t>EVQP7A01P</t>
  </si>
  <si>
    <t>WLCSP-9 (1.22x1.22)</t>
  </si>
  <si>
    <t>WLP-6(0.83x1.24)</t>
  </si>
  <si>
    <t>X2-SON-4(1x1)</t>
  </si>
  <si>
    <t>DFN-6-EP(2x2)</t>
  </si>
  <si>
    <t>PicoStar-3</t>
  </si>
  <si>
    <t>EYSHSNZWZ</t>
  </si>
  <si>
    <t>X-LLGA-3</t>
  </si>
  <si>
    <t>14-LGA (2.5x3)</t>
  </si>
  <si>
    <t>12-WLCSP (1.56x1.56)</t>
  </si>
  <si>
    <t>Manufacturer Part Number</t>
  </si>
  <si>
    <t>CC0201KRX5R6BB104</t>
  </si>
  <si>
    <t>CL05A106MP5NUNC</t>
  </si>
  <si>
    <t>CC0603MRX5R6BB226</t>
  </si>
  <si>
    <t>CC0201MRX5R6BB105</t>
  </si>
  <si>
    <t>CC0201MRX5R6BB225</t>
  </si>
  <si>
    <t>CC0201MRX5R7BB105</t>
  </si>
  <si>
    <t>Sensor Pads</t>
  </si>
  <si>
    <t>1286AS-H-R47M=P2</t>
  </si>
  <si>
    <t>MMBT3904M</t>
  </si>
  <si>
    <t>RC0201JR-0710KL</t>
  </si>
  <si>
    <t>0201WMF2202TEE</t>
  </si>
  <si>
    <t>0201WMF3302TEE</t>
  </si>
  <si>
    <t>0201WMD1003TEE</t>
  </si>
  <si>
    <t>RC0201FR-074K7L</t>
  </si>
  <si>
    <t>EVQ-P7A01P</t>
  </si>
  <si>
    <t>FAN48610UC50X</t>
  </si>
  <si>
    <t>MAX16150AWT+</t>
  </si>
  <si>
    <t>TLV73330PDQNR</t>
  </si>
  <si>
    <t>FAN54120UC420X</t>
  </si>
  <si>
    <t>CSD25501F3</t>
  </si>
  <si>
    <t>NTNS3193NZT5G</t>
  </si>
  <si>
    <t>BMI323</t>
  </si>
  <si>
    <t>BMM150</t>
  </si>
  <si>
    <t>Manufacturer</t>
  </si>
  <si>
    <t>Yageo</t>
  </si>
  <si>
    <t>Samsung</t>
  </si>
  <si>
    <t>Kyocera AVX</t>
  </si>
  <si>
    <t>CW Switch Elec. Store</t>
  </si>
  <si>
    <t>Murata</t>
  </si>
  <si>
    <t>XINGLIGHT</t>
  </si>
  <si>
    <t>TECH PUBLIC</t>
  </si>
  <si>
    <t>UNI-ROYAL</t>
  </si>
  <si>
    <t>Panasonic</t>
  </si>
  <si>
    <t>ON Semiconductor / Fairchild</t>
  </si>
  <si>
    <t>Analog Devices</t>
  </si>
  <si>
    <t>Texas Instruments</t>
  </si>
  <si>
    <t>ON Semiconductor</t>
  </si>
  <si>
    <t>Taiyo Yuden</t>
  </si>
  <si>
    <t>Bosch Sensortec</t>
  </si>
  <si>
    <t>0.1uF</t>
  </si>
  <si>
    <t>10uF</t>
  </si>
  <si>
    <t>22uF</t>
  </si>
  <si>
    <t>1uF</t>
  </si>
  <si>
    <t>2.2uF</t>
  </si>
  <si>
    <t>100uF</t>
  </si>
  <si>
    <t>10K</t>
  </si>
  <si>
    <t>22K</t>
  </si>
  <si>
    <t>33k</t>
  </si>
  <si>
    <t>100K</t>
  </si>
  <si>
    <t>4.7K</t>
  </si>
  <si>
    <t>Quantity</t>
  </si>
  <si>
    <t>Value</t>
  </si>
  <si>
    <t>Remarks</t>
  </si>
  <si>
    <t>Peripheral</t>
  </si>
  <si>
    <t>USB DC 2.0*0.5mm Charging Cable for Mini S530 Smallest Invisible Wireless Bluetooth Earbuds Earphones Headphones Headset</t>
  </si>
  <si>
    <t>-</t>
  </si>
  <si>
    <t>Link</t>
  </si>
  <si>
    <t>Aliexpress</t>
  </si>
  <si>
    <t>TC2030-CTX-NL 6-Pin “No Legs” Cable with 10-pin micro-connector for Cortex processors</t>
  </si>
  <si>
    <t>Tag Connect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</si>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</sst>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11" xfId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4001280445381.html" TargetMode="External"/><Relationship Id="rId2" Type="http://schemas.openxmlformats.org/officeDocument/2006/relationships/hyperlink" Target="https://www.tag-connect.com/product/tc2030-ctx-nl-6-pin-no-legs-cable-with-10-pin-micro-connector-for-cortex-processors" TargetMode="External"/><Relationship Id="rId1" Type="http://schemas.openxmlformats.org/officeDocument/2006/relationships/hyperlink" Target="https://vi.aliexpress.com/item/33058603648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5"/>
  <sheetViews>
    <sheetView tabSelected="1" workbookViewId="0">
      <selection activeCell="N12" sqref="N12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9.42578125" bestFit="1" customWidth="1"/>
    <col min="12" max="12" width="8.5703125" bestFit="1" customWidth="1"/>
  </cols>
  <sheetData>
    <row r="1" spans="1:16" ht="15.75" thickBot="1" x14ac:dyDescent="0.3">
      <c r="A1" s="1"/>
      <c r="B1" s="5"/>
      <c r="C1" s="5"/>
      <c r="D1" s="2"/>
      <c r="E1" s="2"/>
      <c r="F1" s="2"/>
      <c r="G1" s="2"/>
      <c r="H1" s="2"/>
      <c r="I1" s="32"/>
      <c r="J1" s="32"/>
      <c r="K1" s="32"/>
      <c r="L1" s="32"/>
    </row>
    <row r="2" spans="1:16" ht="15.75" thickBot="1" x14ac:dyDescent="0.3">
      <c r="A2" s="1"/>
      <c r="B2" s="8" t="s">
        <v>0</v>
      </c>
      <c r="C2" s="8" t="s">
        <v>1</v>
      </c>
      <c r="D2" s="8" t="s">
        <v>12</v>
      </c>
      <c r="E2" s="9" t="s">
        <v>42</v>
      </c>
      <c r="F2" s="8" t="s">
        <v>71</v>
      </c>
      <c r="G2" s="9" t="s">
        <v>94</v>
      </c>
      <c r="H2" s="8" t="s">
        <v>118</v>
      </c>
      <c r="I2" s="9" t="s">
        <v>146</v>
      </c>
      <c r="J2" s="8" t="s">
        <v>145</v>
      </c>
      <c r="K2" s="8" t="s">
        <v>151</v>
      </c>
      <c r="L2" s="8" t="s">
        <v>147</v>
      </c>
    </row>
    <row r="3" spans="1:16" ht="15.75" thickBot="1" x14ac:dyDescent="0.3">
      <c r="A3" s="1"/>
      <c r="B3" s="23">
        <f>ROW(B3) - ROW($B$2)</f>
        <v>1</v>
      </c>
      <c r="C3" s="24" t="s">
        <v>2</v>
      </c>
      <c r="D3" s="15" t="s">
        <v>13</v>
      </c>
      <c r="E3" s="16" t="s">
        <v>43</v>
      </c>
      <c r="F3" s="15" t="s">
        <v>72</v>
      </c>
      <c r="G3" s="16" t="s">
        <v>95</v>
      </c>
      <c r="H3" s="15" t="s">
        <v>119</v>
      </c>
      <c r="I3" s="16" t="s">
        <v>134</v>
      </c>
      <c r="J3" s="15">
        <v>6</v>
      </c>
      <c r="K3" s="15"/>
      <c r="L3" s="15"/>
    </row>
    <row r="4" spans="1:16" ht="15.75" thickBot="1" x14ac:dyDescent="0.3">
      <c r="A4" s="1"/>
      <c r="B4" s="23">
        <f t="shared" ref="B4:B30" si="0">ROW(B4) - ROW($B$2)</f>
        <v>2</v>
      </c>
      <c r="C4" s="24" t="s">
        <v>2</v>
      </c>
      <c r="D4" s="17" t="s">
        <v>14</v>
      </c>
      <c r="E4" s="18" t="s">
        <v>44</v>
      </c>
      <c r="F4" s="17" t="s">
        <v>73</v>
      </c>
      <c r="G4" s="18" t="s">
        <v>96</v>
      </c>
      <c r="H4" s="17" t="s">
        <v>120</v>
      </c>
      <c r="I4" s="18" t="s">
        <v>135</v>
      </c>
      <c r="J4" s="17">
        <v>1</v>
      </c>
      <c r="K4" s="17"/>
      <c r="L4" s="17"/>
    </row>
    <row r="5" spans="1:16" ht="15.75" thickBot="1" x14ac:dyDescent="0.3">
      <c r="A5" s="1"/>
      <c r="B5" s="23">
        <f>ROW(B5) - ROW($B$2)</f>
        <v>3</v>
      </c>
      <c r="C5" s="25" t="s">
        <v>2</v>
      </c>
      <c r="D5" s="15" t="s">
        <v>15</v>
      </c>
      <c r="E5" s="16" t="s">
        <v>45</v>
      </c>
      <c r="F5" s="15" t="s">
        <v>74</v>
      </c>
      <c r="G5" s="16" t="s">
        <v>97</v>
      </c>
      <c r="H5" s="15" t="s">
        <v>119</v>
      </c>
      <c r="I5" s="16" t="s">
        <v>136</v>
      </c>
      <c r="J5" s="15">
        <v>1</v>
      </c>
      <c r="K5" s="15"/>
      <c r="L5" s="15"/>
    </row>
    <row r="6" spans="1:16" ht="15.75" thickBot="1" x14ac:dyDescent="0.3">
      <c r="A6" s="1"/>
      <c r="B6" s="23">
        <f t="shared" si="0"/>
        <v>4</v>
      </c>
      <c r="C6" s="24" t="s">
        <v>2</v>
      </c>
      <c r="D6" s="17" t="s">
        <v>16</v>
      </c>
      <c r="E6" s="18" t="s">
        <v>46</v>
      </c>
      <c r="F6" s="17" t="s">
        <v>72</v>
      </c>
      <c r="G6" s="18" t="s">
        <v>98</v>
      </c>
      <c r="H6" s="17" t="s">
        <v>119</v>
      </c>
      <c r="I6" s="18" t="s">
        <v>137</v>
      </c>
      <c r="J6" s="17">
        <v>1</v>
      </c>
      <c r="K6" s="17"/>
      <c r="L6" s="17"/>
    </row>
    <row r="7" spans="1:16" ht="15.75" thickBot="1" x14ac:dyDescent="0.3">
      <c r="A7" s="1"/>
      <c r="B7" s="23">
        <f>ROW(B7) - ROW($B$2)</f>
        <v>5</v>
      </c>
      <c r="C7" s="25" t="s">
        <v>2</v>
      </c>
      <c r="D7" s="15" t="s">
        <v>17</v>
      </c>
      <c r="E7" s="16" t="s">
        <v>47</v>
      </c>
      <c r="F7" s="15" t="s">
        <v>72</v>
      </c>
      <c r="G7" s="16" t="s">
        <v>99</v>
      </c>
      <c r="H7" s="15" t="s">
        <v>119</v>
      </c>
      <c r="I7" s="16" t="s">
        <v>138</v>
      </c>
      <c r="J7" s="15">
        <v>1</v>
      </c>
      <c r="K7" s="15"/>
      <c r="L7" s="15"/>
    </row>
    <row r="8" spans="1:16" ht="15.75" thickBot="1" x14ac:dyDescent="0.3">
      <c r="A8" s="1"/>
      <c r="B8" s="23">
        <f t="shared" si="0"/>
        <v>6</v>
      </c>
      <c r="C8" s="24" t="s">
        <v>2</v>
      </c>
      <c r="D8" s="17" t="s">
        <v>18</v>
      </c>
      <c r="E8" s="18" t="s">
        <v>48</v>
      </c>
      <c r="F8" s="17" t="s">
        <v>75</v>
      </c>
      <c r="G8" s="18" t="s">
        <v>75</v>
      </c>
      <c r="H8" s="17" t="s">
        <v>121</v>
      </c>
      <c r="I8" s="18" t="s">
        <v>139</v>
      </c>
      <c r="J8" s="17">
        <v>1</v>
      </c>
      <c r="K8" s="17"/>
      <c r="L8" s="17"/>
    </row>
    <row r="9" spans="1:16" ht="15.75" thickBot="1" x14ac:dyDescent="0.3">
      <c r="A9" s="1"/>
      <c r="B9" s="23">
        <f>ROW(B9) - ROW($B$2)</f>
        <v>7</v>
      </c>
      <c r="C9" s="25" t="s">
        <v>2</v>
      </c>
      <c r="D9" s="15" t="s">
        <v>19</v>
      </c>
      <c r="E9" s="16" t="s">
        <v>49</v>
      </c>
      <c r="F9" s="15" t="s">
        <v>72</v>
      </c>
      <c r="G9" s="16" t="s">
        <v>100</v>
      </c>
      <c r="H9" s="15" t="s">
        <v>119</v>
      </c>
      <c r="I9" s="16" t="s">
        <v>137</v>
      </c>
      <c r="J9" s="15">
        <v>1</v>
      </c>
      <c r="K9" s="15"/>
      <c r="L9" s="15"/>
    </row>
    <row r="10" spans="1:16" ht="15.75" thickBot="1" x14ac:dyDescent="0.3">
      <c r="A10" s="1"/>
      <c r="B10" s="23">
        <f t="shared" si="0"/>
        <v>8</v>
      </c>
      <c r="C10" s="24" t="s">
        <v>3</v>
      </c>
      <c r="D10" s="27" t="s">
        <v>20</v>
      </c>
      <c r="E10" s="28" t="s">
        <v>50</v>
      </c>
      <c r="F10" s="27" t="s">
        <v>76</v>
      </c>
      <c r="G10" s="28" t="s">
        <v>76</v>
      </c>
      <c r="H10" s="27" t="s">
        <v>150</v>
      </c>
      <c r="I10" s="28"/>
      <c r="J10" s="27">
        <v>4</v>
      </c>
      <c r="K10" s="17"/>
      <c r="L10" s="29" t="s">
        <v>155</v>
      </c>
    </row>
    <row r="11" spans="1:16" ht="30.75" thickBot="1" x14ac:dyDescent="0.3">
      <c r="A11" s="1"/>
      <c r="B11" s="23">
        <f>ROW(B11) - ROW($B$2)</f>
        <v>9</v>
      </c>
      <c r="C11" s="25" t="s">
        <v>4</v>
      </c>
      <c r="D11" s="15" t="s">
        <v>21</v>
      </c>
      <c r="E11" s="16" t="s">
        <v>51</v>
      </c>
      <c r="F11" s="15" t="s">
        <v>77</v>
      </c>
      <c r="G11" s="16" t="s">
        <v>77</v>
      </c>
      <c r="H11" s="15" t="s">
        <v>122</v>
      </c>
      <c r="I11" s="16"/>
      <c r="J11" s="15">
        <v>1</v>
      </c>
      <c r="K11" s="26" t="s">
        <v>152</v>
      </c>
      <c r="L11" s="15"/>
    </row>
    <row r="12" spans="1:16" ht="15.75" thickBot="1" x14ac:dyDescent="0.3">
      <c r="A12" s="1"/>
      <c r="B12" s="23">
        <f t="shared" si="0"/>
        <v>10</v>
      </c>
      <c r="C12" s="24" t="s">
        <v>5</v>
      </c>
      <c r="D12" s="27" t="s">
        <v>22</v>
      </c>
      <c r="E12" s="28" t="s">
        <v>52</v>
      </c>
      <c r="F12" s="27" t="s">
        <v>78</v>
      </c>
      <c r="G12" s="28" t="s">
        <v>101</v>
      </c>
      <c r="H12" s="27"/>
      <c r="I12" s="28"/>
      <c r="J12" s="27">
        <v>1</v>
      </c>
      <c r="K12" s="27"/>
      <c r="L12" s="29" t="s">
        <v>155</v>
      </c>
    </row>
    <row r="13" spans="1:16" ht="15.75" thickBot="1" x14ac:dyDescent="0.3">
      <c r="A13" s="1"/>
      <c r="B13" s="23">
        <f>ROW(B13) - ROW($B$2)</f>
        <v>11</v>
      </c>
      <c r="C13" s="25"/>
      <c r="D13" s="30" t="s">
        <v>23</v>
      </c>
      <c r="E13" s="31"/>
      <c r="F13" s="30" t="s">
        <v>79</v>
      </c>
      <c r="G13" s="31"/>
      <c r="H13" s="30"/>
      <c r="I13" s="31"/>
      <c r="J13" s="30">
        <v>1</v>
      </c>
      <c r="K13" s="30"/>
      <c r="L13" s="29" t="s">
        <v>155</v>
      </c>
      <c r="P13" s="33"/>
    </row>
    <row r="14" spans="1:16" ht="15.75" thickBot="1" x14ac:dyDescent="0.3">
      <c r="A14" s="1"/>
      <c r="B14" s="23">
        <f t="shared" si="0"/>
        <v>12</v>
      </c>
      <c r="C14" s="24" t="s">
        <v>6</v>
      </c>
      <c r="D14" s="17" t="s">
        <v>24</v>
      </c>
      <c r="E14" s="18" t="s">
        <v>53</v>
      </c>
      <c r="F14" s="17" t="s">
        <v>80</v>
      </c>
      <c r="G14" s="18" t="s">
        <v>102</v>
      </c>
      <c r="H14" s="17" t="s">
        <v>123</v>
      </c>
      <c r="I14" s="18"/>
      <c r="J14" s="17">
        <v>1</v>
      </c>
      <c r="K14" s="17"/>
      <c r="L14" s="17"/>
    </row>
    <row r="15" spans="1:16" ht="36.75" thickBot="1" x14ac:dyDescent="0.3">
      <c r="A15" s="1"/>
      <c r="B15" s="23">
        <f>ROW(B15) - ROW($B$2)</f>
        <v>13</v>
      </c>
      <c r="C15" s="25" t="s">
        <v>7</v>
      </c>
      <c r="D15" s="15" t="s">
        <v>25</v>
      </c>
      <c r="E15" s="16" t="s">
        <v>54</v>
      </c>
      <c r="F15" s="15" t="s">
        <v>81</v>
      </c>
      <c r="G15" s="16" t="s">
        <v>81</v>
      </c>
      <c r="H15" s="15" t="s">
        <v>124</v>
      </c>
      <c r="I15" s="16"/>
      <c r="J15" s="15">
        <v>1</v>
      </c>
      <c r="K15" s="15"/>
      <c r="L15" s="15"/>
    </row>
    <row r="16" spans="1:16" ht="48.75" thickBot="1" x14ac:dyDescent="0.3">
      <c r="A16" s="1"/>
      <c r="B16" s="23">
        <f t="shared" si="0"/>
        <v>14</v>
      </c>
      <c r="C16" s="24" t="s">
        <v>8</v>
      </c>
      <c r="D16" s="17" t="s">
        <v>26</v>
      </c>
      <c r="E16" s="18" t="s">
        <v>55</v>
      </c>
      <c r="F16" s="17" t="s">
        <v>82</v>
      </c>
      <c r="G16" s="18" t="s">
        <v>103</v>
      </c>
      <c r="H16" s="17" t="s">
        <v>125</v>
      </c>
      <c r="I16" s="18"/>
      <c r="J16" s="17">
        <v>1</v>
      </c>
      <c r="K16" s="17"/>
      <c r="L16" s="17"/>
    </row>
    <row r="17" spans="1:12" ht="15.75" thickBot="1" x14ac:dyDescent="0.3">
      <c r="A17" s="1"/>
      <c r="B17" s="23">
        <f>ROW(B17) - ROW($B$2)</f>
        <v>15</v>
      </c>
      <c r="C17" s="24" t="s">
        <v>9</v>
      </c>
      <c r="D17" s="15" t="s">
        <v>27</v>
      </c>
      <c r="E17" s="16" t="s">
        <v>56</v>
      </c>
      <c r="F17" s="15" t="s">
        <v>83</v>
      </c>
      <c r="G17" s="16" t="s">
        <v>104</v>
      </c>
      <c r="H17" s="15" t="s">
        <v>119</v>
      </c>
      <c r="I17" s="16" t="s">
        <v>140</v>
      </c>
      <c r="J17" s="15">
        <v>5</v>
      </c>
      <c r="K17" s="15"/>
      <c r="L17" s="15"/>
    </row>
    <row r="18" spans="1:12" ht="36.75" thickBot="1" x14ac:dyDescent="0.3">
      <c r="A18" s="1"/>
      <c r="B18" s="23">
        <f t="shared" si="0"/>
        <v>16</v>
      </c>
      <c r="C18" s="24" t="s">
        <v>9</v>
      </c>
      <c r="D18" s="17" t="s">
        <v>28</v>
      </c>
      <c r="E18" s="18" t="s">
        <v>57</v>
      </c>
      <c r="F18" s="17" t="s">
        <v>83</v>
      </c>
      <c r="G18" s="18" t="s">
        <v>105</v>
      </c>
      <c r="H18" s="17" t="s">
        <v>126</v>
      </c>
      <c r="I18" s="18" t="s">
        <v>141</v>
      </c>
      <c r="J18" s="17">
        <v>1</v>
      </c>
      <c r="K18" s="17"/>
      <c r="L18" s="17"/>
    </row>
    <row r="19" spans="1:12" ht="36.75" thickBot="1" x14ac:dyDescent="0.3">
      <c r="A19" s="1"/>
      <c r="B19" s="23">
        <f>ROW(B19) - ROW($B$2)</f>
        <v>17</v>
      </c>
      <c r="C19" s="25" t="s">
        <v>9</v>
      </c>
      <c r="D19" s="15" t="s">
        <v>29</v>
      </c>
      <c r="E19" s="16" t="s">
        <v>58</v>
      </c>
      <c r="F19" s="15" t="s">
        <v>83</v>
      </c>
      <c r="G19" s="16" t="s">
        <v>106</v>
      </c>
      <c r="H19" s="15" t="s">
        <v>126</v>
      </c>
      <c r="I19" s="16" t="s">
        <v>142</v>
      </c>
      <c r="J19" s="15">
        <v>1</v>
      </c>
      <c r="K19" s="15"/>
      <c r="L19" s="15"/>
    </row>
    <row r="20" spans="1:12" ht="36.75" thickBot="1" x14ac:dyDescent="0.3">
      <c r="A20" s="1"/>
      <c r="B20" s="23">
        <f t="shared" si="0"/>
        <v>18</v>
      </c>
      <c r="C20" s="24" t="s">
        <v>9</v>
      </c>
      <c r="D20" s="17" t="s">
        <v>30</v>
      </c>
      <c r="E20" s="18" t="s">
        <v>59</v>
      </c>
      <c r="F20" s="17" t="s">
        <v>83</v>
      </c>
      <c r="G20" s="18" t="s">
        <v>107</v>
      </c>
      <c r="H20" s="17" t="s">
        <v>126</v>
      </c>
      <c r="I20" s="18" t="s">
        <v>143</v>
      </c>
      <c r="J20" s="17">
        <v>2</v>
      </c>
      <c r="K20" s="17"/>
      <c r="L20" s="17"/>
    </row>
    <row r="21" spans="1:12" ht="15.75" thickBot="1" x14ac:dyDescent="0.3">
      <c r="A21" s="1"/>
      <c r="B21" s="23">
        <f>ROW(B21) - ROW($B$2)</f>
        <v>19</v>
      </c>
      <c r="C21" s="25" t="s">
        <v>9</v>
      </c>
      <c r="D21" s="15" t="s">
        <v>31</v>
      </c>
      <c r="E21" s="16" t="s">
        <v>60</v>
      </c>
      <c r="F21" s="15" t="s">
        <v>83</v>
      </c>
      <c r="G21" s="16" t="s">
        <v>108</v>
      </c>
      <c r="H21" s="15" t="s">
        <v>119</v>
      </c>
      <c r="I21" s="16" t="s">
        <v>144</v>
      </c>
      <c r="J21" s="15">
        <v>4</v>
      </c>
      <c r="K21" s="15"/>
      <c r="L21" s="15"/>
    </row>
    <row r="22" spans="1:12" ht="15.75" thickBot="1" x14ac:dyDescent="0.3">
      <c r="A22" s="1"/>
      <c r="B22" s="23">
        <f t="shared" si="0"/>
        <v>20</v>
      </c>
      <c r="C22" s="24" t="s">
        <v>10</v>
      </c>
      <c r="D22" s="17" t="s">
        <v>32</v>
      </c>
      <c r="E22" s="18" t="s">
        <v>61</v>
      </c>
      <c r="F22" s="17" t="s">
        <v>84</v>
      </c>
      <c r="G22" s="18" t="s">
        <v>109</v>
      </c>
      <c r="H22" s="17" t="s">
        <v>127</v>
      </c>
      <c r="I22" s="18"/>
      <c r="J22" s="17">
        <v>1</v>
      </c>
      <c r="K22" s="17"/>
      <c r="L22" s="17"/>
    </row>
    <row r="23" spans="1:12" ht="24.75" thickBot="1" x14ac:dyDescent="0.3">
      <c r="A23" s="1"/>
      <c r="B23" s="23">
        <f>ROW(B23) - ROW($B$2)</f>
        <v>21</v>
      </c>
      <c r="C23" s="25" t="s">
        <v>11</v>
      </c>
      <c r="D23" s="15" t="s">
        <v>33</v>
      </c>
      <c r="E23" s="16" t="s">
        <v>62</v>
      </c>
      <c r="F23" s="15" t="s">
        <v>85</v>
      </c>
      <c r="G23" s="16" t="s">
        <v>110</v>
      </c>
      <c r="H23" s="15" t="s">
        <v>128</v>
      </c>
      <c r="I23" s="16"/>
      <c r="J23" s="15">
        <v>1</v>
      </c>
      <c r="K23" s="15"/>
      <c r="L23" s="15"/>
    </row>
    <row r="24" spans="1:12" ht="15.75" thickBot="1" x14ac:dyDescent="0.3">
      <c r="A24" s="1"/>
      <c r="B24" s="23">
        <f t="shared" si="0"/>
        <v>22</v>
      </c>
      <c r="C24" s="24" t="s">
        <v>11</v>
      </c>
      <c r="D24" s="17" t="s">
        <v>34</v>
      </c>
      <c r="E24" s="18" t="s">
        <v>63</v>
      </c>
      <c r="F24" s="17" t="s">
        <v>86</v>
      </c>
      <c r="G24" s="18" t="s">
        <v>111</v>
      </c>
      <c r="H24" s="17" t="s">
        <v>129</v>
      </c>
      <c r="I24" s="18"/>
      <c r="J24" s="17">
        <v>1</v>
      </c>
      <c r="K24" s="17"/>
      <c r="L24" s="17"/>
    </row>
    <row r="25" spans="1:12" ht="15.75" thickBot="1" x14ac:dyDescent="0.3">
      <c r="A25" s="1"/>
      <c r="B25" s="23">
        <f>ROW(B25) - ROW($B$2)</f>
        <v>23</v>
      </c>
      <c r="C25" s="25" t="s">
        <v>11</v>
      </c>
      <c r="D25" s="15" t="s">
        <v>35</v>
      </c>
      <c r="E25" s="16" t="s">
        <v>64</v>
      </c>
      <c r="F25" s="15" t="s">
        <v>87</v>
      </c>
      <c r="G25" s="16" t="s">
        <v>112</v>
      </c>
      <c r="H25" s="15" t="s">
        <v>130</v>
      </c>
      <c r="I25" s="16"/>
      <c r="J25" s="15">
        <v>1</v>
      </c>
      <c r="K25" s="15"/>
      <c r="L25" s="15"/>
    </row>
    <row r="26" spans="1:12" ht="15.75" thickBot="1" x14ac:dyDescent="0.3">
      <c r="A26" s="1"/>
      <c r="B26" s="23">
        <f t="shared" si="0"/>
        <v>24</v>
      </c>
      <c r="C26" s="24" t="s">
        <v>11</v>
      </c>
      <c r="D26" s="17" t="s">
        <v>36</v>
      </c>
      <c r="E26" s="18" t="s">
        <v>65</v>
      </c>
      <c r="F26" s="17" t="s">
        <v>88</v>
      </c>
      <c r="G26" s="18" t="s">
        <v>113</v>
      </c>
      <c r="H26" s="17" t="s">
        <v>131</v>
      </c>
      <c r="I26" s="18"/>
      <c r="J26" s="17">
        <v>1</v>
      </c>
      <c r="K26" s="17"/>
      <c r="L26" s="17"/>
    </row>
    <row r="27" spans="1:12" ht="15.75" thickBot="1" x14ac:dyDescent="0.3">
      <c r="A27" s="1"/>
      <c r="B27" s="23">
        <f>ROW(B27) - ROW($B$2)</f>
        <v>25</v>
      </c>
      <c r="C27" s="25" t="s">
        <v>11</v>
      </c>
      <c r="D27" s="15" t="s">
        <v>37</v>
      </c>
      <c r="E27" s="16" t="s">
        <v>66</v>
      </c>
      <c r="F27" s="15" t="s">
        <v>89</v>
      </c>
      <c r="G27" s="16" t="s">
        <v>114</v>
      </c>
      <c r="H27" s="15" t="s">
        <v>130</v>
      </c>
      <c r="I27" s="16"/>
      <c r="J27" s="15">
        <v>1</v>
      </c>
      <c r="K27" s="15"/>
      <c r="L27" s="15"/>
    </row>
    <row r="28" spans="1:12" ht="15.75" thickBot="1" x14ac:dyDescent="0.3">
      <c r="A28" s="1"/>
      <c r="B28" s="23">
        <f t="shared" si="0"/>
        <v>26</v>
      </c>
      <c r="C28" s="24"/>
      <c r="D28" s="17" t="s">
        <v>38</v>
      </c>
      <c r="E28" s="18" t="s">
        <v>67</v>
      </c>
      <c r="F28" s="17" t="s">
        <v>90</v>
      </c>
      <c r="G28" s="18" t="s">
        <v>90</v>
      </c>
      <c r="H28" s="17" t="s">
        <v>132</v>
      </c>
      <c r="I28" s="18"/>
      <c r="J28" s="17">
        <v>1</v>
      </c>
      <c r="K28" s="17"/>
      <c r="L28" s="17"/>
    </row>
    <row r="29" spans="1:12" ht="15.75" thickBot="1" x14ac:dyDescent="0.3">
      <c r="A29" s="1"/>
      <c r="B29" s="23">
        <f>ROW(B29) - ROW($B$2)</f>
        <v>27</v>
      </c>
      <c r="C29" s="25" t="s">
        <v>11</v>
      </c>
      <c r="D29" s="15" t="s">
        <v>39</v>
      </c>
      <c r="E29" s="16" t="s">
        <v>68</v>
      </c>
      <c r="F29" s="15" t="s">
        <v>91</v>
      </c>
      <c r="G29" s="16" t="s">
        <v>115</v>
      </c>
      <c r="H29" s="15" t="s">
        <v>131</v>
      </c>
      <c r="I29" s="16"/>
      <c r="J29" s="15">
        <v>1</v>
      </c>
      <c r="K29" s="15"/>
      <c r="L29" s="15"/>
    </row>
    <row r="30" spans="1:12" ht="15.75" thickBot="1" x14ac:dyDescent="0.3">
      <c r="A30" s="1"/>
      <c r="B30" s="23">
        <f t="shared" si="0"/>
        <v>28</v>
      </c>
      <c r="C30" s="24" t="s">
        <v>11</v>
      </c>
      <c r="D30" s="17" t="s">
        <v>40</v>
      </c>
      <c r="E30" s="18" t="s">
        <v>69</v>
      </c>
      <c r="F30" s="17" t="s">
        <v>92</v>
      </c>
      <c r="G30" s="18" t="s">
        <v>116</v>
      </c>
      <c r="H30" s="17" t="s">
        <v>133</v>
      </c>
      <c r="I30" s="18"/>
      <c r="J30" s="17">
        <v>1</v>
      </c>
      <c r="K30" s="17"/>
      <c r="L30" s="17"/>
    </row>
    <row r="31" spans="1:12" ht="15.75" thickBot="1" x14ac:dyDescent="0.3">
      <c r="A31" s="1"/>
      <c r="B31" s="23">
        <f>ROW(B31) - ROW($B$2)</f>
        <v>29</v>
      </c>
      <c r="C31" s="25" t="s">
        <v>11</v>
      </c>
      <c r="D31" s="15" t="s">
        <v>41</v>
      </c>
      <c r="E31" s="16" t="s">
        <v>70</v>
      </c>
      <c r="F31" s="15" t="s">
        <v>93</v>
      </c>
      <c r="G31" s="16" t="s">
        <v>117</v>
      </c>
      <c r="H31" s="15" t="s">
        <v>133</v>
      </c>
      <c r="I31" s="16"/>
      <c r="J31" s="15">
        <v>1</v>
      </c>
      <c r="K31" s="15"/>
      <c r="L31" s="15"/>
    </row>
    <row r="32" spans="1:12" ht="48.75" thickBot="1" x14ac:dyDescent="0.3">
      <c r="A32" s="1"/>
      <c r="B32" s="23">
        <f>ROW(B32) - ROW($B$2)</f>
        <v>30</v>
      </c>
      <c r="C32" s="25" t="s">
        <v>148</v>
      </c>
      <c r="D32" s="15"/>
      <c r="E32" s="16" t="s">
        <v>149</v>
      </c>
      <c r="F32" s="15" t="s">
        <v>150</v>
      </c>
      <c r="G32" s="16" t="s">
        <v>150</v>
      </c>
      <c r="H32" s="15" t="s">
        <v>150</v>
      </c>
      <c r="I32" s="16" t="s">
        <v>150</v>
      </c>
      <c r="J32" s="15"/>
      <c r="K32" s="26" t="s">
        <v>152</v>
      </c>
      <c r="L32" s="15"/>
    </row>
    <row r="33" spans="1:12" ht="36.75" thickBot="1" x14ac:dyDescent="0.3">
      <c r="A33" s="1"/>
      <c r="B33" s="23">
        <f>ROW(B33) - ROW($B$2)</f>
        <v>31</v>
      </c>
      <c r="C33" s="25" t="s">
        <v>148</v>
      </c>
      <c r="D33" s="15"/>
      <c r="E33" s="16" t="s">
        <v>153</v>
      </c>
      <c r="F33" s="15" t="s">
        <v>150</v>
      </c>
      <c r="G33" s="16" t="s">
        <v>150</v>
      </c>
      <c r="H33" s="15" t="s">
        <v>150</v>
      </c>
      <c r="I33" s="16" t="s">
        <v>150</v>
      </c>
      <c r="J33" s="15"/>
      <c r="K33" s="26" t="s">
        <v>154</v>
      </c>
      <c r="L33" s="15"/>
    </row>
    <row r="34" spans="1:12" x14ac:dyDescent="0.25">
      <c r="A34" s="1"/>
      <c r="B34" s="10"/>
      <c r="C34" s="21"/>
      <c r="D34" s="11"/>
      <c r="E34" s="12"/>
      <c r="F34" s="13"/>
      <c r="G34" s="14"/>
      <c r="H34" s="13"/>
      <c r="I34" s="14"/>
      <c r="J34" s="14"/>
      <c r="K34" s="14"/>
      <c r="L34" s="19"/>
    </row>
    <row r="35" spans="1:12" ht="15.75" thickBot="1" x14ac:dyDescent="0.3">
      <c r="A35" s="1"/>
      <c r="B35" s="6"/>
      <c r="C35" s="22"/>
      <c r="D35" s="3"/>
      <c r="E35" s="4"/>
      <c r="F35" s="4"/>
      <c r="G35" s="4"/>
      <c r="H35" s="4"/>
      <c r="I35" s="4"/>
      <c r="J35" s="4"/>
      <c r="K35" s="4"/>
      <c r="L35" s="20"/>
    </row>
  </sheetData>
  <mergeCells count="1">
    <mergeCell ref="I1:L1"/>
  </mergeCells>
  <hyperlinks>
    <hyperlink ref="K32" r:id="rId1" xr:uid="{00000000-0004-0000-0000-000000000000}"/>
    <hyperlink ref="K33" r:id="rId2" xr:uid="{00000000-0004-0000-0000-000001000000}"/>
    <hyperlink ref="K11" r:id="rId3" xr:uid="{7163F1D9-70FF-4B1B-8161-0B8D0362F85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2023-12-06T10:09:07Z</dcterms:modified>
</cp:coreProperties>
</file>